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 State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<sst xmlns="http://schemas.openxmlformats.org/spreadsheetml/2006/main" count="338" uniqueCount="326">
  <si>
    <t xml:space="preserve">CLOUD KITCHEN – KEY ASSUMPTIONS  |  January 2025</t>
  </si>
  <si>
    <t xml:space="preserve">PARAMETER</t>
  </si>
  <si>
    <t xml:space="preserve">VALUE</t>
  </si>
  <si>
    <t xml:space="preserve">NOTES</t>
  </si>
  <si>
    <t xml:space="preserve">── ORDER VOLUME</t>
  </si>
  <si>
    <t xml:space="preserve">Total Monthly Orders</t>
  </si>
  <si>
    <t xml:space="preserve">2,000+ (user input)</t>
  </si>
  <si>
    <t xml:space="preserve">Zomato Share</t>
  </si>
  <si>
    <t xml:space="preserve">User input – 70/30 split</t>
  </si>
  <si>
    <t xml:space="preserve">Swiggy Share</t>
  </si>
  <si>
    <t xml:space="preserve">Veg Order Mix</t>
  </si>
  <si>
    <t xml:space="preserve">User input – 40% veg</t>
  </si>
  <si>
    <t xml:space="preserve">Non-Veg Order Mix</t>
  </si>
  <si>
    <t xml:space="preserve">User input – 60% non-veg</t>
  </si>
  <si>
    <t xml:space="preserve">Sides Attach Rate</t>
  </si>
  <si>
    <t xml:space="preserve">User input – ~40-50%</t>
  </si>
  <si>
    <t xml:space="preserve">Cancellation Rate</t>
  </si>
  <si>
    <t xml:space="preserve">Industry avg for cloud kitchens</t>
  </si>
  <si>
    <t xml:space="preserve">── PRICING</t>
  </si>
  <si>
    <t xml:space="preserve">Veg Sandwich ASP</t>
  </si>
  <si>
    <t xml:space="preserve">User input – menu price</t>
  </si>
  <si>
    <t xml:space="preserve">Non-Veg Sandwich ASP</t>
  </si>
  <si>
    <t xml:space="preserve">Sides ASP</t>
  </si>
  <si>
    <t xml:space="preserve">── PLATFORM</t>
  </si>
  <si>
    <t xml:space="preserve">Zomato Commission %</t>
  </si>
  <si>
    <t xml:space="preserve">Zomato standard rate ~23%</t>
  </si>
  <si>
    <t xml:space="preserve">Swiggy Commission %</t>
  </si>
  <si>
    <t xml:space="preserve">Swiggy standard rate ~23%</t>
  </si>
  <si>
    <t xml:space="preserve">GST on Food (cloud kitchen)</t>
  </si>
  <si>
    <t xml:space="preserve">5% GST (no ITC) – FSSAI</t>
  </si>
  <si>
    <t xml:space="preserve">── FOOD COST</t>
  </si>
  <si>
    <t xml:space="preserve">Proteins (chicken/pork/lamb/prawn)</t>
  </si>
  <si>
    <t xml:space="preserve">Hyperpure + local vendor</t>
  </si>
  <si>
    <t xml:space="preserve">Vegetables &amp; Herbs</t>
  </si>
  <si>
    <t xml:space="preserve">Local vendor</t>
  </si>
  <si>
    <t xml:space="preserve">Bread / Rolls</t>
  </si>
  <si>
    <t xml:space="preserve">Local bakery supplier</t>
  </si>
  <si>
    <t xml:space="preserve">Dairy (burrata/cheese)</t>
  </si>
  <si>
    <t xml:space="preserve">Hyperpure</t>
  </si>
  <si>
    <t xml:space="preserve">Sauces &amp; Condiments</t>
  </si>
  <si>
    <t xml:space="preserve">Hyperpure + local</t>
  </si>
  <si>
    <t xml:space="preserve">Oils &amp; Fats</t>
  </si>
  <si>
    <t xml:space="preserve">Dry Goods &amp; Spices</t>
  </si>
  <si>
    <t xml:space="preserve">Truffle Products</t>
  </si>
  <si>
    <t xml:space="preserve">Specialty supplier</t>
  </si>
  <si>
    <t xml:space="preserve">Sides Ingredients (fries/tenders)</t>
  </si>
  <si>
    <t xml:space="preserve">Packaging – Primary (sandwich boxes)</t>
  </si>
  <si>
    <t xml:space="preserve">Custom printed boxes</t>
  </si>
  <si>
    <t xml:space="preserve">Packaging – Secondary (bags/tissue/cutlery)</t>
  </si>
  <si>
    <t xml:space="preserve">Generic supplies</t>
  </si>
  <si>
    <t xml:space="preserve">Packaging – Stickers &amp; Labels</t>
  </si>
  <si>
    <t xml:space="preserve">Branding</t>
  </si>
  <si>
    <t xml:space="preserve">Wastage &amp; Spoilage</t>
  </si>
  <si>
    <t xml:space="preserve">~5-6% of food cost</t>
  </si>
  <si>
    <t xml:space="preserve">Staff Meals / In-house Consumption</t>
  </si>
  <si>
    <t xml:space="preserve">Team food</t>
  </si>
  <si>
    <t xml:space="preserve">Quality Control / Sampling</t>
  </si>
  <si>
    <t xml:space="preserve">Daily tasting</t>
  </si>
  <si>
    <t xml:space="preserve">── LABOUR</t>
  </si>
  <si>
    <t xml:space="preserve">Kitchen Staff Salaries</t>
  </si>
  <si>
    <t xml:space="preserve">User input – midpoint ₹2L</t>
  </si>
  <si>
    <t xml:space="preserve">PF / ESIC Contributions</t>
  </si>
  <si>
    <t xml:space="preserve">Employer contribution 13.75%</t>
  </si>
  <si>
    <t xml:space="preserve">Overtime Allowance</t>
  </si>
  <si>
    <t xml:space="preserve">Estimate</t>
  </si>
  <si>
    <t xml:space="preserve">── OCCUPANCY</t>
  </si>
  <si>
    <t xml:space="preserve">Kitchen Rent</t>
  </si>
  <si>
    <t xml:space="preserve">User input – midpoint ₹32K</t>
  </si>
  <si>
    <t xml:space="preserve">Electricity &amp; Power</t>
  </si>
  <si>
    <t xml:space="preserve">400 sqft kitchen estimate</t>
  </si>
  <si>
    <t xml:space="preserve">Water Charges</t>
  </si>
  <si>
    <t xml:space="preserve">Internet &amp; Communication</t>
  </si>
  <si>
    <t xml:space="preserve">Broadband + mobile</t>
  </si>
  <si>
    <t xml:space="preserve">── TECHNOLOGY</t>
  </si>
  <si>
    <t xml:space="preserve">POS Software</t>
  </si>
  <si>
    <t xml:space="preserve">User input</t>
  </si>
  <si>
    <t xml:space="preserve">Platform Subscription Fees</t>
  </si>
  <si>
    <t xml:space="preserve">Annual fee amortized</t>
  </si>
  <si>
    <t xml:space="preserve">Menu Photography (amortized)</t>
  </si>
  <si>
    <t xml:space="preserve">One-time cost spread over 12m</t>
  </si>
  <si>
    <t xml:space="preserve">── MARKETING</t>
  </si>
  <si>
    <t xml:space="preserve">Zomato Ads &amp; Promotions</t>
  </si>
  <si>
    <t xml:space="preserve">Paid ads on platform</t>
  </si>
  <si>
    <t xml:space="preserve">Swiggy Ads &amp; Promotions</t>
  </si>
  <si>
    <t xml:space="preserve">Social Media Marketing</t>
  </si>
  <si>
    <t xml:space="preserve">Instagram / Meta ads</t>
  </si>
  <si>
    <t xml:space="preserve">Influencer / Content</t>
  </si>
  <si>
    <t xml:space="preserve">Food bloggers / reels</t>
  </si>
  <si>
    <t xml:space="preserve">Self-funded Discounts &amp; Offers</t>
  </si>
  <si>
    <t xml:space="preserve">Combo deals, happy hours</t>
  </si>
  <si>
    <t xml:space="preserve">── ADMIN &amp; OTHER</t>
  </si>
  <si>
    <t xml:space="preserve">Accounting / Bookkeeping</t>
  </si>
  <si>
    <t xml:space="preserve">CA retainer</t>
  </si>
  <si>
    <t xml:space="preserve">Legal &amp; Compliance (FSSAI etc.)</t>
  </si>
  <si>
    <t xml:space="preserve">License renewals amortized</t>
  </si>
  <si>
    <t xml:space="preserve">Business Insurance</t>
  </si>
  <si>
    <t xml:space="preserve">Kitchen insurance</t>
  </si>
  <si>
    <t xml:space="preserve">Cleaning &amp; Hygiene Supplies</t>
  </si>
  <si>
    <t xml:space="preserve">Sanitisers, gloves, mops</t>
  </si>
  <si>
    <t xml:space="preserve">Pest Control</t>
  </si>
  <si>
    <t xml:space="preserve">Monthly AMC</t>
  </si>
  <si>
    <t xml:space="preserve">Repairs &amp; Maintenance</t>
  </si>
  <si>
    <t xml:space="preserve">Equipment upkeep</t>
  </si>
  <si>
    <t xml:space="preserve">Miscellaneous</t>
  </si>
  <si>
    <t xml:space="preserve">Petty cash</t>
  </si>
  <si>
    <t xml:space="preserve">── DEPRECIATION</t>
  </si>
  <si>
    <t xml:space="preserve">Equipment Depreciation</t>
  </si>
  <si>
    <t xml:space="preserve">Grills, fryers, misc – 5yr life</t>
  </si>
  <si>
    <t xml:space="preserve">Amortization (brand setup)</t>
  </si>
  <si>
    <t xml:space="preserve">Spread over 24 months</t>
  </si>
  <si>
    <t xml:space="preserve">── FINANCE</t>
  </si>
  <si>
    <t xml:space="preserve">Interest on Working Capital Loan</t>
  </si>
  <si>
    <t xml:space="preserve">Loan for initial setup</t>
  </si>
  <si>
    <t xml:space="preserve">Bank Charges</t>
  </si>
  <si>
    <t xml:space="preserve">Transaction/gateway fees</t>
  </si>
  <si>
    <t xml:space="preserve">── TAX</t>
  </si>
  <si>
    <t xml:space="preserve">Effective Tax Rate</t>
  </si>
  <si>
    <t xml:space="preserve">Presumptive taxation ~26%</t>
  </si>
  <si>
    <t xml:space="preserve">PROFIT &amp; LOSS STATEMENT  |  January 2025</t>
  </si>
  <si>
    <t xml:space="preserve">Cloud Kitchen | Gourmet Sandwiches | Gurugram, Haryana</t>
  </si>
  <si>
    <t xml:space="preserve">LINE ITEM</t>
  </si>
  <si>
    <t xml:space="preserve">AMOUNT (₹)</t>
  </si>
  <si>
    <t xml:space="preserve">% of GMV</t>
  </si>
  <si>
    <t xml:space="preserve">  A.  GROSS MERCHANDISE VALUE (GMV)</t>
  </si>
  <si>
    <t xml:space="preserve">    Sandwich Revenue – Vegetarian</t>
  </si>
  <si>
    <t xml:space="preserve">880 veg orders × ₹449</t>
  </si>
  <si>
    <t xml:space="preserve">    Sandwich Revenue – Non-Vegetarian</t>
  </si>
  <si>
    <t xml:space="preserve">1,320 non-veg orders × ₹499</t>
  </si>
  <si>
    <t xml:space="preserve">    Sides Revenue</t>
  </si>
  <si>
    <t xml:space="preserve">990 sides orders × ₹250</t>
  </si>
  <si>
    <t xml:space="preserve">  Gross GMV</t>
  </si>
  <si>
    <t xml:space="preserve">Total platform-facing sales</t>
  </si>
  <si>
    <t xml:space="preserve">      Less: Cancellations &amp; Refunds (1.5%)</t>
  </si>
  <si>
    <t xml:space="preserve">Platform-reported cancellations</t>
  </si>
  <si>
    <t xml:space="preserve">  Net GMV (after Cancellations)</t>
  </si>
  <si>
    <t xml:space="preserve">Actual collectible from platforms</t>
  </si>
  <si>
    <t xml:space="preserve">  B.  REVENUE  (Net Platform Commissions &amp; GST)</t>
  </si>
  <si>
    <t xml:space="preserve">      Less: Zomato Commission (23% on 70% GMV)</t>
  </si>
  <si>
    <t xml:space="preserve">~23% commission; Zomato 70% share</t>
  </si>
  <si>
    <t xml:space="preserve">      Less: Swiggy Commission (23% on 30% GMV)</t>
  </si>
  <si>
    <t xml:space="preserve">~23% commission; Swiggy 30% share</t>
  </si>
  <si>
    <t xml:space="preserve">      Less: GST on Food (5%, included in price)</t>
  </si>
  <si>
    <t xml:space="preserve">5% GST – cloud kitchen, no ITC benefit</t>
  </si>
  <si>
    <t xml:space="preserve">  NET REVENUE</t>
  </si>
  <si>
    <t xml:space="preserve">Money actually received by kitchen</t>
  </si>
  <si>
    <t xml:space="preserve">  C.  COST OF GOODS SOLD (COGS)</t>
  </si>
  <si>
    <t xml:space="preserve">  C1.  Raw Material – Food &amp; Beverage</t>
  </si>
  <si>
    <t xml:space="preserve">    Proteins (Chicken, Pork, Lamb, Prawns)</t>
  </si>
  <si>
    <t xml:space="preserve">Hyperpure + local – largest RM cost</t>
  </si>
  <si>
    <t xml:space="preserve">    Vegetables &amp; Fresh Herbs</t>
  </si>
  <si>
    <t xml:space="preserve">Local vendor – daily ordering</t>
  </si>
  <si>
    <t xml:space="preserve">    Bread, Rolls &amp; Buns</t>
  </si>
  <si>
    <t xml:space="preserve">Local bakery – artisan bread</t>
  </si>
  <si>
    <t xml:space="preserve">    Dairy (Burrata, Cheese, Butter, Cream)</t>
  </si>
  <si>
    <t xml:space="preserve">Hyperpure – cold chain</t>
  </si>
  <si>
    <t xml:space="preserve">    Sauces, Condiments &amp; Spreads</t>
  </si>
  <si>
    <t xml:space="preserve">Hyperpure + house-made sauces</t>
  </si>
  <si>
    <t xml:space="preserve">    Oils &amp; Fats</t>
  </si>
  <si>
    <t xml:space="preserve">Cooking oil, clarified butter</t>
  </si>
  <si>
    <t xml:space="preserve">    Dry Goods, Spices &amp; Marinades</t>
  </si>
  <si>
    <t xml:space="preserve">    Truffle Products (oil, shavings)</t>
  </si>
  <si>
    <t xml:space="preserve">Specialty import supplier</t>
  </si>
  <si>
    <t xml:space="preserve">    Sides Ingredients (fries, tenders batter)</t>
  </si>
  <si>
    <t xml:space="preserve">Frozen fries, chicken strips – Hyperpure</t>
  </si>
  <si>
    <t xml:space="preserve">  Sub-Total: Raw Material</t>
  </si>
  <si>
    <t xml:space="preserve">  C2.  Packaging Material</t>
  </si>
  <si>
    <t xml:space="preserve">    Primary Packaging (custom sandwich boxes)</t>
  </si>
  <si>
    <t xml:space="preserve">Branded kraft boxes</t>
  </si>
  <si>
    <t xml:space="preserve">    Secondary Packaging (bags, tissue, cutlery)</t>
  </si>
  <si>
    <t xml:space="preserve">Delivery bags, napkins, forks</t>
  </si>
  <si>
    <t xml:space="preserve">    Stickers, Labels &amp; Tamper Seals</t>
  </si>
  <si>
    <t xml:space="preserve">Branding &amp; hygiene compliance</t>
  </si>
  <si>
    <t xml:space="preserve">    Bubble Wrap / Thermal Inserts</t>
  </si>
  <si>
    <t xml:space="preserve">N/A currently – add if needed</t>
  </si>
  <si>
    <t xml:space="preserve">  Sub-Total: Packaging</t>
  </si>
  <si>
    <t xml:space="preserve">  C3.  Wastage, Spoilage &amp; Other Food Costs</t>
  </si>
  <si>
    <t xml:space="preserve">    Wastage &amp; Spoilage (perishables)</t>
  </si>
  <si>
    <t xml:space="preserve">~5-6% of food RM cost</t>
  </si>
  <si>
    <t xml:space="preserve">    Staff Meals &amp; In-house Consumption</t>
  </si>
  <si>
    <t xml:space="preserve">Team meals on shift</t>
  </si>
  <si>
    <t xml:space="preserve">    Quality Control / Recipe Testing</t>
  </si>
  <si>
    <t xml:space="preserve">Daily tasting, new dish trials</t>
  </si>
  <si>
    <t xml:space="preserve">    Complimentary Items / Order Errors</t>
  </si>
  <si>
    <t xml:space="preserve">Re-makes, wrong orders – track here</t>
  </si>
  <si>
    <t xml:space="preserve">  Sub-Total: Wastage &amp; Other</t>
  </si>
  <si>
    <t xml:space="preserve">  TOTAL COGS</t>
  </si>
  <si>
    <t xml:space="preserve">Direct costs to produce orders</t>
  </si>
  <si>
    <t xml:space="preserve">D.  GROSS PROFIT  (Net Revenue – COGS)</t>
  </si>
  <si>
    <t xml:space="preserve">Kitchen's margin after food costs</t>
  </si>
  <si>
    <t xml:space="preserve">  E.  OPERATING EXPENSES (OPEX)</t>
  </si>
  <si>
    <t xml:space="preserve">  E1.  Labour &amp; HR Costs</t>
  </si>
  <si>
    <t xml:space="preserve">    Kitchen Staff Salaries (7 employees)</t>
  </si>
  <si>
    <t xml:space="preserve">Cook, helpers, packing, supervisor</t>
  </si>
  <si>
    <t xml:space="preserve">    PF / ESIC – Employer Contribution (13.75%)</t>
  </si>
  <si>
    <t xml:space="preserve">Statutory – 12% PF + 1.75% ESIC</t>
  </si>
  <si>
    <t xml:space="preserve">    Overtime Allowance</t>
  </si>
  <si>
    <t xml:space="preserve">Weekend / festive surge</t>
  </si>
  <si>
    <t xml:space="preserve">    Staff Incentives / Bonus</t>
  </si>
  <si>
    <t xml:space="preserve">Performance bonus – add when applicable</t>
  </si>
  <si>
    <t xml:space="preserve">    Recruitment &amp; Training Costs</t>
  </si>
  <si>
    <t xml:space="preserve">One-time; amortize if significant</t>
  </si>
  <si>
    <t xml:space="preserve">  Sub-Total: Labour</t>
  </si>
  <si>
    <t xml:space="preserve">  E2.  Occupancy &amp; Utilities</t>
  </si>
  <si>
    <t xml:space="preserve">    Kitchen Rent (400 sqft, Gurgaon)</t>
  </si>
  <si>
    <t xml:space="preserve">User input – Gurgaon cloud kitchen</t>
  </si>
  <si>
    <t xml:space="preserve">    Electricity &amp; Power</t>
  </si>
  <si>
    <t xml:space="preserve">Grills, fryers, ACs, refrigeration</t>
  </si>
  <si>
    <t xml:space="preserve">    Water Charges</t>
  </si>
  <si>
    <t xml:space="preserve">Commercial kitchen usage</t>
  </si>
  <si>
    <t xml:space="preserve">    Internet &amp; Communication</t>
  </si>
  <si>
    <t xml:space="preserve">Broadband + mobile data</t>
  </si>
  <si>
    <t xml:space="preserve">    Security Deposit Amortization</t>
  </si>
  <si>
    <t xml:space="preserve">Spread over lease tenure</t>
  </si>
  <si>
    <t xml:space="preserve">  Sub-Total: Occupancy</t>
  </si>
  <si>
    <t xml:space="preserve">  E3.  Technology &amp; Software</t>
  </si>
  <si>
    <t xml:space="preserve">    POS Software (monthly license)</t>
  </si>
  <si>
    <t xml:space="preserve">    Platform Subscription / Listing Fees</t>
  </si>
  <si>
    <t xml:space="preserve">Annual onboarding amortized</t>
  </si>
  <si>
    <t xml:space="preserve">    Menu Photography (amortized monthly)</t>
  </si>
  <si>
    <t xml:space="preserve">One-time shoot ÷ 12 months</t>
  </si>
  <si>
    <t xml:space="preserve">    Website / App Maintenance</t>
  </si>
  <si>
    <t xml:space="preserve">Add if building direct-order channel</t>
  </si>
  <si>
    <t xml:space="preserve">    Online Ordering Integration / ONDC</t>
  </si>
  <si>
    <t xml:space="preserve">Future direct channel cost</t>
  </si>
  <si>
    <t xml:space="preserve">    CRM / Customer Data Platform</t>
  </si>
  <si>
    <t xml:space="preserve">Future investment</t>
  </si>
  <si>
    <t xml:space="preserve">  Sub-Total: Technology</t>
  </si>
  <si>
    <t xml:space="preserve">  E4.  Sales &amp; Marketing</t>
  </si>
  <si>
    <t xml:space="preserve">    Zomato Ads &amp; Promoted Listings</t>
  </si>
  <si>
    <t xml:space="preserve">Cost-per-click campaigns</t>
  </si>
  <si>
    <t xml:space="preserve">    Swiggy Ads &amp; Promoted Listings</t>
  </si>
  <si>
    <t xml:space="preserve">Swiggy boosted listing</t>
  </si>
  <si>
    <t xml:space="preserve">    Social Media / Meta / Instagram Ads</t>
  </si>
  <si>
    <t xml:space="preserve">Targeted ads – Gurgaon audiences</t>
  </si>
  <si>
    <t xml:space="preserve">    Influencer &amp; Content Marketing</t>
  </si>
  <si>
    <t xml:space="preserve">Food bloggers / reels / UGC</t>
  </si>
  <si>
    <t xml:space="preserve">    Self-funded Discounts &amp; Combos</t>
  </si>
  <si>
    <t xml:space="preserve">Happy hour deals, combo offers</t>
  </si>
  <si>
    <t xml:space="preserve">    Platform-funded Discounts (pass-through)</t>
  </si>
  <si>
    <t xml:space="preserve">Zomato / Swiggy pays – no P&amp;L impact</t>
  </si>
  <si>
    <t xml:space="preserve">    Branding &amp; Packaging Design (amortized)</t>
  </si>
  <si>
    <t xml:space="preserve">One-time; add if refreshing brand</t>
  </si>
  <si>
    <t xml:space="preserve">    PR &amp; Food Media</t>
  </si>
  <si>
    <t xml:space="preserve">Press &amp; editorial – future spend</t>
  </si>
  <si>
    <t xml:space="preserve">  Sub-Total: Marketing</t>
  </si>
  <si>
    <t xml:space="preserve">  E5.  General &amp; Administrative</t>
  </si>
  <si>
    <t xml:space="preserve">    Accounting / Bookkeeping (CA retainer)</t>
  </si>
  <si>
    <t xml:space="preserve">Monthly CA fees</t>
  </si>
  <si>
    <t xml:space="preserve">    Legal &amp; Compliance (FSSAI, GST, MSME)</t>
  </si>
  <si>
    <t xml:space="preserve">License renewals, filing fees</t>
  </si>
  <si>
    <t xml:space="preserve">    Business Insurance (kitchen &amp; liability)</t>
  </si>
  <si>
    <t xml:space="preserve">Fire, theft, liability insurance</t>
  </si>
  <si>
    <t xml:space="preserve">    Cleaning &amp; Hygiene Supplies</t>
  </si>
  <si>
    <t xml:space="preserve">Sanitisers, gloves, cleaning agents</t>
  </si>
  <si>
    <t xml:space="preserve">    Pest Control (monthly AMC)</t>
  </si>
  <si>
    <t xml:space="preserve">FSSAI compliance requirement</t>
  </si>
  <si>
    <t xml:space="preserve">    Repairs &amp; Maintenance (equipment)</t>
  </si>
  <si>
    <t xml:space="preserve">Servicing grills, fryers, refrigerators</t>
  </si>
  <si>
    <t xml:space="preserve">    Gas / LPG Refills</t>
  </si>
  <si>
    <t xml:space="preserve">Commercial burner usage</t>
  </si>
  <si>
    <t xml:space="preserve">    Office &amp; Stationery</t>
  </si>
  <si>
    <t xml:space="preserve">Admin supplies</t>
  </si>
  <si>
    <t xml:space="preserve">    Miscellaneous / Petty Cash</t>
  </si>
  <si>
    <t xml:space="preserve">Unclassified small expenses</t>
  </si>
  <si>
    <t xml:space="preserve">  Sub-Total: General &amp; Admin</t>
  </si>
  <si>
    <t xml:space="preserve">  TOTAL OPERATING EXPENSES (OPEX)</t>
  </si>
  <si>
    <t xml:space="preserve">All cash operating costs</t>
  </si>
  <si>
    <t xml:space="preserve">F.  EBITDA  (Gross Profit – OPEX)</t>
  </si>
  <si>
    <t xml:space="preserve">Earnings before Interest, Tax, D&amp;A</t>
  </si>
  <si>
    <t xml:space="preserve">  G.  DEPRECIATION &amp; AMORTISATION (D&amp;A)</t>
  </si>
  <si>
    <t xml:space="preserve">    Depreciation – Kitchen Equipment</t>
  </si>
  <si>
    <t xml:space="preserve">Grills, fryers, SS tables – 5 yr life</t>
  </si>
  <si>
    <t xml:space="preserve">    Depreciation – Furniture &amp; Fixtures</t>
  </si>
  <si>
    <t xml:space="preserve">Minimal in cloud kitchen</t>
  </si>
  <si>
    <t xml:space="preserve">    Amortisation – Brand Setup &amp; Logo</t>
  </si>
  <si>
    <t xml:space="preserve">    Amortisation – Leasehold Improvements</t>
  </si>
  <si>
    <t xml:space="preserve">Add if fit-out cost incurred</t>
  </si>
  <si>
    <t xml:space="preserve">  Total D&amp;A</t>
  </si>
  <si>
    <t xml:space="preserve">H.  EBIT  (EBITDA – D&amp;A)</t>
  </si>
  <si>
    <t xml:space="preserve">Operating profit after depreciation</t>
  </si>
  <si>
    <t xml:space="preserve">  I.  FINANCE COSTS</t>
  </si>
  <si>
    <t xml:space="preserve">    Interest on Working Capital Loan</t>
  </si>
  <si>
    <t xml:space="preserve">Bank loan for initial setup / inventory</t>
  </si>
  <si>
    <t xml:space="preserve">    Payment Gateway / Bank Transaction Charges</t>
  </si>
  <si>
    <t xml:space="preserve">Online payment processing fees</t>
  </si>
  <si>
    <t xml:space="preserve">    Interest on Equipment Finance / Lease</t>
  </si>
  <si>
    <t xml:space="preserve">Add if equipment on EMI</t>
  </si>
  <si>
    <t xml:space="preserve">  Total Finance Costs</t>
  </si>
  <si>
    <t xml:space="preserve">J.  PROFIT BEFORE TAX (PBT)</t>
  </si>
  <si>
    <t xml:space="preserve">Taxable profit</t>
  </si>
  <si>
    <t xml:space="preserve">  K.  INCOME TAX PROVISION</t>
  </si>
  <si>
    <t xml:space="preserve">    Income Tax – Presumptive (Sec 44AD ~26%)</t>
  </si>
  <si>
    <t xml:space="preserve">Applicable if PBT &gt; 0; presumptive basis</t>
  </si>
  <si>
    <t xml:space="preserve">    Deferred Tax Adjustment</t>
  </si>
  <si>
    <t xml:space="preserve">Add if applicable</t>
  </si>
  <si>
    <t xml:space="preserve">  Total Tax</t>
  </si>
  <si>
    <t xml:space="preserve">L.  PROFIT AFTER TAX (PAT)  ★</t>
  </si>
  <si>
    <t xml:space="preserve">Net earnings – bottom line</t>
  </si>
  <si>
    <t xml:space="preserve">  M.  KEY PERFORMANCE INDICATORS (KPIs)</t>
  </si>
  <si>
    <t xml:space="preserve">    Total Orders (Month)</t>
  </si>
  <si>
    <t xml:space="preserve">    Average Order Value (AOV)</t>
  </si>
  <si>
    <t xml:space="preserve">Net GMV ÷ Total Orders</t>
  </si>
  <si>
    <t xml:space="preserve">    Gross GMV</t>
  </si>
  <si>
    <t xml:space="preserve">    Net GMV</t>
  </si>
  <si>
    <t xml:space="preserve">After cancellations</t>
  </si>
  <si>
    <t xml:space="preserve">    Net Revenue</t>
  </si>
  <si>
    <t xml:space="preserve">After platform &amp; GST</t>
  </si>
  <si>
    <t xml:space="preserve">    COGS</t>
  </si>
  <si>
    <t xml:space="preserve">    Gross Profit</t>
  </si>
  <si>
    <t xml:space="preserve">    Gross Margin %</t>
  </si>
  <si>
    <t xml:space="preserve">Gross Profit ÷ Net Revenue</t>
  </si>
  <si>
    <t xml:space="preserve">    EBITDA</t>
  </si>
  <si>
    <t xml:space="preserve">    EBITDA Margin % (on Net Rev)</t>
  </si>
  <si>
    <t xml:space="preserve">EBITDA ÷ Net Revenue</t>
  </si>
  <si>
    <t xml:space="preserve">    EBITDA Margin % (on GMV)</t>
  </si>
  <si>
    <t xml:space="preserve">EBITDA ÷ Net GMV</t>
  </si>
  <si>
    <t xml:space="preserve">    PAT</t>
  </si>
  <si>
    <t xml:space="preserve">    PAT Margin % (on Net Revenue)</t>
  </si>
  <si>
    <t xml:space="preserve">PAT ÷ Net Revenue</t>
  </si>
  <si>
    <t xml:space="preserve">    Food Cost % (of Net Revenue)</t>
  </si>
  <si>
    <t xml:space="preserve">Target: &lt;35%</t>
  </si>
  <si>
    <t xml:space="preserve">    Labour Cost % (of Net Revenue)</t>
  </si>
  <si>
    <t xml:space="preserve">Target: &lt;25%</t>
  </si>
  <si>
    <t xml:space="preserve">    Platform Commission % (of GMV)</t>
  </si>
  <si>
    <t xml:space="preserve">Actual effective rate</t>
  </si>
  <si>
    <t xml:space="preserve">  🔵 Blue = Hardcoded Inputs    ⚫ Black = Formulas    🔴 Red = Cost Lines    * Greyed lines = Zero / Future Use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</si>
</sst>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;&quot;(₹&quot;#,##0\);\-"/>
    <numFmt numFmtId="166" formatCode="0.0%;\(0.0%\);\-"/>
    <numFmt numFmtId="167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5436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EEEE"/>
      </patternFill>
    </fill>
    <fill>
      <patternFill patternType="solid">
        <fgColor rgb="FF274472"/>
        <bgColor rgb="FF1B4F72"/>
      </patternFill>
    </fill>
    <fill>
      <patternFill patternType="solid">
        <fgColor rgb="FFEEEEEE"/>
        <bgColor rgb="FFF5F5F5"/>
      </patternFill>
    </fill>
    <fill>
      <patternFill patternType="solid">
        <fgColor rgb="FFE94560"/>
        <bgColor rgb="FFC0392B"/>
      </patternFill>
    </fill>
    <fill>
      <patternFill patternType="solid">
        <fgColor rgb="FF1B4F72"/>
        <bgColor rgb="FF1A5276"/>
      </patternFill>
    </fill>
    <fill>
      <patternFill patternType="solid">
        <fgColor rgb="FF145A32"/>
        <bgColor rgb="FF1B4F72"/>
      </patternFill>
    </fill>
    <fill>
      <patternFill patternType="solid">
        <fgColor rgb="FF154360"/>
        <bgColor rgb="FF1B4F72"/>
      </patternFill>
    </fill>
    <fill>
      <patternFill patternType="solid">
        <fgColor rgb="FF117A65"/>
        <bgColor rgb="FF1D8348"/>
      </patternFill>
    </fill>
    <fill>
      <patternFill patternType="solid">
        <fgColor rgb="FF1D8348"/>
        <bgColor rgb="FF117A6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154360"/>
      <rgbColor rgb="FF808000"/>
      <rgbColor rgb="FF800080"/>
      <rgbColor rgb="FF117A65"/>
      <rgbColor rgb="FFCCCCCC"/>
      <rgbColor rgb="FF888888"/>
      <rgbColor rgb="FFAAAAAA"/>
      <rgbColor rgb="FF555555"/>
      <rgbColor rgb="FFF5F5F5"/>
      <rgbColor rgb="FFEEEEEE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B4F7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99999"/>
      <rgbColor rgb="FF0F3460"/>
      <rgbColor rgb="FF1D8348"/>
      <rgbColor rgb="FF16213E"/>
      <rgbColor rgb="FF1A1A2E"/>
      <rgbColor rgb="FFC0392B"/>
      <rgbColor rgb="FF993366"/>
      <rgbColor rgb="FF274472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6.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/>
      <c r="C4" s="5"/>
    </row>
    <row r="5" customFormat="false" ht="15" hidden="false" customHeight="false" outlineLevel="0" collapsed="false">
      <c r="A5" s="6" t="s">
        <v>5</v>
      </c>
      <c r="B5" s="7" t="n">
        <v>2200</v>
      </c>
      <c r="C5" s="8" t="s">
        <v>6</v>
      </c>
    </row>
    <row r="6" customFormat="false" ht="15" hidden="false" customHeight="false" outlineLevel="0" collapsed="false">
      <c r="A6" s="9" t="s">
        <v>7</v>
      </c>
      <c r="B6" s="10" t="n">
        <v>0.7</v>
      </c>
      <c r="C6" s="11" t="s">
        <v>8</v>
      </c>
    </row>
    <row r="7" customFormat="false" ht="15" hidden="false" customHeight="false" outlineLevel="0" collapsed="false">
      <c r="A7" s="6" t="s">
        <v>9</v>
      </c>
      <c r="B7" s="12" t="n">
        <v>0.3</v>
      </c>
      <c r="C7" s="8" t="s">
        <v>8</v>
      </c>
    </row>
    <row r="8" customFormat="false" ht="15" hidden="false" customHeight="false" outlineLevel="0" collapsed="false">
      <c r="A8" s="9" t="s">
        <v>10</v>
      </c>
      <c r="B8" s="10" t="n">
        <v>0.4</v>
      </c>
      <c r="C8" s="11" t="s">
        <v>11</v>
      </c>
    </row>
    <row r="9" customFormat="false" ht="15" hidden="false" customHeight="false" outlineLevel="0" collapsed="false">
      <c r="A9" s="6" t="s">
        <v>12</v>
      </c>
      <c r="B9" s="12" t="n">
        <v>0.6</v>
      </c>
      <c r="C9" s="8" t="s">
        <v>13</v>
      </c>
    </row>
    <row r="10" customFormat="false" ht="15" hidden="false" customHeight="false" outlineLevel="0" collapsed="false">
      <c r="A10" s="9" t="s">
        <v>14</v>
      </c>
      <c r="B10" s="10" t="n">
        <v>0.45</v>
      </c>
      <c r="C10" s="11" t="s">
        <v>15</v>
      </c>
    </row>
    <row r="11" customFormat="false" ht="15" hidden="false" customHeight="false" outlineLevel="0" collapsed="false">
      <c r="A11" s="6" t="s">
        <v>16</v>
      </c>
      <c r="B11" s="12" t="n">
        <v>0.015</v>
      </c>
      <c r="C11" s="8" t="s">
        <v>17</v>
      </c>
    </row>
    <row r="12" customFormat="false" ht="15" hidden="false" customHeight="false" outlineLevel="0" collapsed="false">
      <c r="A12" s="3" t="s">
        <v>18</v>
      </c>
      <c r="B12" s="4"/>
      <c r="C12" s="5"/>
    </row>
    <row r="13" customFormat="false" ht="15" hidden="false" customHeight="false" outlineLevel="0" collapsed="false">
      <c r="A13" s="9" t="s">
        <v>19</v>
      </c>
      <c r="B13" s="13" t="n">
        <v>449</v>
      </c>
      <c r="C13" s="11" t="s">
        <v>20</v>
      </c>
    </row>
    <row r="14" customFormat="false" ht="15" hidden="false" customHeight="false" outlineLevel="0" collapsed="false">
      <c r="A14" s="6" t="s">
        <v>21</v>
      </c>
      <c r="B14" s="7" t="n">
        <v>499</v>
      </c>
      <c r="C14" s="8" t="s">
        <v>20</v>
      </c>
    </row>
    <row r="15" customFormat="false" ht="15" hidden="false" customHeight="false" outlineLevel="0" collapsed="false">
      <c r="A15" s="9" t="s">
        <v>22</v>
      </c>
      <c r="B15" s="13" t="n">
        <v>250</v>
      </c>
      <c r="C15" s="11" t="s">
        <v>20</v>
      </c>
    </row>
    <row r="16" customFormat="false" ht="15" hidden="false" customHeight="false" outlineLevel="0" collapsed="false">
      <c r="A16" s="3" t="s">
        <v>23</v>
      </c>
      <c r="B16" s="4"/>
      <c r="C16" s="5"/>
    </row>
    <row r="17" customFormat="false" ht="15" hidden="false" customHeight="false" outlineLevel="0" collapsed="false">
      <c r="A17" s="6" t="s">
        <v>24</v>
      </c>
      <c r="B17" s="12" t="n">
        <v>0.23</v>
      </c>
      <c r="C17" s="8" t="s">
        <v>25</v>
      </c>
    </row>
    <row r="18" customFormat="false" ht="15" hidden="false" customHeight="false" outlineLevel="0" collapsed="false">
      <c r="A18" s="9" t="s">
        <v>26</v>
      </c>
      <c r="B18" s="10" t="n">
        <v>0.23</v>
      </c>
      <c r="C18" s="11" t="s">
        <v>27</v>
      </c>
    </row>
    <row r="19" customFormat="false" ht="15" hidden="false" customHeight="false" outlineLevel="0" collapsed="false">
      <c r="A19" s="6" t="s">
        <v>28</v>
      </c>
      <c r="B19" s="12" t="n">
        <v>0.05</v>
      </c>
      <c r="C19" s="8" t="s">
        <v>29</v>
      </c>
    </row>
    <row r="20" customFormat="false" ht="15" hidden="false" customHeight="false" outlineLevel="0" collapsed="false">
      <c r="A20" s="3" t="s">
        <v>30</v>
      </c>
      <c r="B20" s="4"/>
      <c r="C20" s="5"/>
    </row>
    <row r="21" customFormat="false" ht="15" hidden="false" customHeight="false" outlineLevel="0" collapsed="false">
      <c r="A21" s="9" t="s">
        <v>31</v>
      </c>
      <c r="B21" s="13" t="n">
        <v>110000</v>
      </c>
      <c r="C21" s="11" t="s">
        <v>32</v>
      </c>
    </row>
    <row r="22" customFormat="false" ht="15" hidden="false" customHeight="false" outlineLevel="0" collapsed="false">
      <c r="A22" s="6" t="s">
        <v>33</v>
      </c>
      <c r="B22" s="7" t="n">
        <v>20000</v>
      </c>
      <c r="C22" s="8" t="s">
        <v>34</v>
      </c>
    </row>
    <row r="23" customFormat="false" ht="15" hidden="false" customHeight="false" outlineLevel="0" collapsed="false">
      <c r="A23" s="9" t="s">
        <v>35</v>
      </c>
      <c r="B23" s="13" t="n">
        <v>25000</v>
      </c>
      <c r="C23" s="11" t="s">
        <v>36</v>
      </c>
    </row>
    <row r="24" customFormat="false" ht="15" hidden="false" customHeight="false" outlineLevel="0" collapsed="false">
      <c r="A24" s="6" t="s">
        <v>37</v>
      </c>
      <c r="B24" s="7" t="n">
        <v>18000</v>
      </c>
      <c r="C24" s="8" t="s">
        <v>38</v>
      </c>
    </row>
    <row r="25" customFormat="false" ht="15" hidden="false" customHeight="false" outlineLevel="0" collapsed="false">
      <c r="A25" s="9" t="s">
        <v>39</v>
      </c>
      <c r="B25" s="13" t="n">
        <v>22000</v>
      </c>
      <c r="C25" s="11" t="s">
        <v>40</v>
      </c>
    </row>
    <row r="26" customFormat="false" ht="15" hidden="false" customHeight="false" outlineLevel="0" collapsed="false">
      <c r="A26" s="6" t="s">
        <v>41</v>
      </c>
      <c r="B26" s="7" t="n">
        <v>8000</v>
      </c>
      <c r="C26" s="8" t="s">
        <v>34</v>
      </c>
    </row>
    <row r="27" customFormat="false" ht="15" hidden="false" customHeight="false" outlineLevel="0" collapsed="false">
      <c r="A27" s="9" t="s">
        <v>42</v>
      </c>
      <c r="B27" s="13" t="n">
        <v>15000</v>
      </c>
      <c r="C27" s="11" t="s">
        <v>40</v>
      </c>
    </row>
    <row r="28" customFormat="false" ht="15" hidden="false" customHeight="false" outlineLevel="0" collapsed="false">
      <c r="A28" s="6" t="s">
        <v>43</v>
      </c>
      <c r="B28" s="7" t="n">
        <v>12000</v>
      </c>
      <c r="C28" s="8" t="s">
        <v>44</v>
      </c>
    </row>
    <row r="29" customFormat="false" ht="15" hidden="false" customHeight="false" outlineLevel="0" collapsed="false">
      <c r="A29" s="9" t="s">
        <v>45</v>
      </c>
      <c r="B29" s="13" t="n">
        <v>35000</v>
      </c>
      <c r="C29" s="11" t="s">
        <v>40</v>
      </c>
    </row>
    <row r="30" customFormat="false" ht="15" hidden="false" customHeight="false" outlineLevel="0" collapsed="false">
      <c r="A30" s="6" t="s">
        <v>46</v>
      </c>
      <c r="B30" s="7" t="n">
        <v>22000</v>
      </c>
      <c r="C30" s="8" t="s">
        <v>47</v>
      </c>
    </row>
    <row r="31" customFormat="false" ht="15" hidden="false" customHeight="false" outlineLevel="0" collapsed="false">
      <c r="A31" s="9" t="s">
        <v>48</v>
      </c>
      <c r="B31" s="13" t="n">
        <v>12000</v>
      </c>
      <c r="C31" s="11" t="s">
        <v>49</v>
      </c>
    </row>
    <row r="32" customFormat="false" ht="15" hidden="false" customHeight="false" outlineLevel="0" collapsed="false">
      <c r="A32" s="6" t="s">
        <v>50</v>
      </c>
      <c r="B32" s="7" t="n">
        <v>3000</v>
      </c>
      <c r="C32" s="8" t="s">
        <v>51</v>
      </c>
    </row>
    <row r="33" customFormat="false" ht="15" hidden="false" customHeight="false" outlineLevel="0" collapsed="false">
      <c r="A33" s="9" t="s">
        <v>52</v>
      </c>
      <c r="B33" s="13" t="n">
        <v>18000</v>
      </c>
      <c r="C33" s="11" t="s">
        <v>53</v>
      </c>
    </row>
    <row r="34" customFormat="false" ht="15" hidden="false" customHeight="false" outlineLevel="0" collapsed="false">
      <c r="A34" s="6" t="s">
        <v>54</v>
      </c>
      <c r="B34" s="7" t="n">
        <v>5000</v>
      </c>
      <c r="C34" s="8" t="s">
        <v>55</v>
      </c>
    </row>
    <row r="35" customFormat="false" ht="15" hidden="false" customHeight="false" outlineLevel="0" collapsed="false">
      <c r="A35" s="9" t="s">
        <v>56</v>
      </c>
      <c r="B35" s="13" t="n">
        <v>2000</v>
      </c>
      <c r="C35" s="11" t="s">
        <v>57</v>
      </c>
    </row>
    <row r="36" customFormat="false" ht="15" hidden="false" customHeight="false" outlineLevel="0" collapsed="false">
      <c r="A36" s="3" t="s">
        <v>58</v>
      </c>
      <c r="B36" s="4"/>
      <c r="C36" s="5"/>
    </row>
    <row r="37" customFormat="false" ht="15" hidden="false" customHeight="false" outlineLevel="0" collapsed="false">
      <c r="A37" s="6" t="s">
        <v>59</v>
      </c>
      <c r="B37" s="7" t="n">
        <v>200000</v>
      </c>
      <c r="C37" s="8" t="s">
        <v>60</v>
      </c>
    </row>
    <row r="38" customFormat="false" ht="15" hidden="false" customHeight="false" outlineLevel="0" collapsed="false">
      <c r="A38" s="9" t="s">
        <v>61</v>
      </c>
      <c r="B38" s="10" t="n">
        <v>0.1375</v>
      </c>
      <c r="C38" s="11" t="s">
        <v>62</v>
      </c>
    </row>
    <row r="39" customFormat="false" ht="15" hidden="false" customHeight="false" outlineLevel="0" collapsed="false">
      <c r="A39" s="6" t="s">
        <v>63</v>
      </c>
      <c r="B39" s="7" t="n">
        <v>5000</v>
      </c>
      <c r="C39" s="8" t="s">
        <v>64</v>
      </c>
    </row>
    <row r="40" customFormat="false" ht="15" hidden="false" customHeight="false" outlineLevel="0" collapsed="false">
      <c r="A40" s="3" t="s">
        <v>65</v>
      </c>
      <c r="B40" s="4"/>
      <c r="C40" s="5"/>
    </row>
    <row r="41" customFormat="false" ht="15" hidden="false" customHeight="false" outlineLevel="0" collapsed="false">
      <c r="A41" s="9" t="s">
        <v>66</v>
      </c>
      <c r="B41" s="13" t="n">
        <v>32000</v>
      </c>
      <c r="C41" s="11" t="s">
        <v>67</v>
      </c>
    </row>
    <row r="42" customFormat="false" ht="15" hidden="false" customHeight="false" outlineLevel="0" collapsed="false">
      <c r="A42" s="6" t="s">
        <v>68</v>
      </c>
      <c r="B42" s="7" t="n">
        <v>18000</v>
      </c>
      <c r="C42" s="8" t="s">
        <v>69</v>
      </c>
    </row>
    <row r="43" customFormat="false" ht="15" hidden="false" customHeight="false" outlineLevel="0" collapsed="false">
      <c r="A43" s="9" t="s">
        <v>70</v>
      </c>
      <c r="B43" s="13" t="n">
        <v>3000</v>
      </c>
      <c r="C43" s="11" t="s">
        <v>64</v>
      </c>
    </row>
    <row r="44" customFormat="false" ht="15" hidden="false" customHeight="false" outlineLevel="0" collapsed="false">
      <c r="A44" s="6" t="s">
        <v>71</v>
      </c>
      <c r="B44" s="7" t="n">
        <v>2000</v>
      </c>
      <c r="C44" s="8" t="s">
        <v>72</v>
      </c>
    </row>
    <row r="45" customFormat="false" ht="15" hidden="false" customHeight="false" outlineLevel="0" collapsed="false">
      <c r="A45" s="3" t="s">
        <v>73</v>
      </c>
      <c r="B45" s="4"/>
      <c r="C45" s="5"/>
    </row>
    <row r="46" customFormat="false" ht="15" hidden="false" customHeight="false" outlineLevel="0" collapsed="false">
      <c r="A46" s="9" t="s">
        <v>74</v>
      </c>
      <c r="B46" s="13" t="n">
        <v>10000</v>
      </c>
      <c r="C46" s="11" t="s">
        <v>75</v>
      </c>
    </row>
    <row r="47" customFormat="false" ht="15" hidden="false" customHeight="false" outlineLevel="0" collapsed="false">
      <c r="A47" s="6" t="s">
        <v>76</v>
      </c>
      <c r="B47" s="7" t="n">
        <v>2000</v>
      </c>
      <c r="C47" s="8" t="s">
        <v>77</v>
      </c>
    </row>
    <row r="48" customFormat="false" ht="15" hidden="false" customHeight="false" outlineLevel="0" collapsed="false">
      <c r="A48" s="9" t="s">
        <v>78</v>
      </c>
      <c r="B48" s="13" t="n">
        <v>1500</v>
      </c>
      <c r="C48" s="11" t="s">
        <v>79</v>
      </c>
    </row>
    <row r="49" customFormat="false" ht="15" hidden="false" customHeight="false" outlineLevel="0" collapsed="false">
      <c r="A49" s="3" t="s">
        <v>80</v>
      </c>
      <c r="B49" s="4"/>
      <c r="C49" s="5"/>
    </row>
    <row r="50" customFormat="false" ht="15" hidden="false" customHeight="false" outlineLevel="0" collapsed="false">
      <c r="A50" s="6" t="s">
        <v>81</v>
      </c>
      <c r="B50" s="7" t="n">
        <v>25000</v>
      </c>
      <c r="C50" s="8" t="s">
        <v>82</v>
      </c>
    </row>
    <row r="51" customFormat="false" ht="15" hidden="false" customHeight="false" outlineLevel="0" collapsed="false">
      <c r="A51" s="9" t="s">
        <v>83</v>
      </c>
      <c r="B51" s="13" t="n">
        <v>10000</v>
      </c>
      <c r="C51" s="11" t="s">
        <v>82</v>
      </c>
    </row>
    <row r="52" customFormat="false" ht="15" hidden="false" customHeight="false" outlineLevel="0" collapsed="false">
      <c r="A52" s="6" t="s">
        <v>84</v>
      </c>
      <c r="B52" s="7" t="n">
        <v>8000</v>
      </c>
      <c r="C52" s="8" t="s">
        <v>85</v>
      </c>
    </row>
    <row r="53" customFormat="false" ht="15" hidden="false" customHeight="false" outlineLevel="0" collapsed="false">
      <c r="A53" s="9" t="s">
        <v>86</v>
      </c>
      <c r="B53" s="13" t="n">
        <v>5000</v>
      </c>
      <c r="C53" s="11" t="s">
        <v>87</v>
      </c>
    </row>
    <row r="54" customFormat="false" ht="15" hidden="false" customHeight="false" outlineLevel="0" collapsed="false">
      <c r="A54" s="6" t="s">
        <v>88</v>
      </c>
      <c r="B54" s="7" t="n">
        <v>15000</v>
      </c>
      <c r="C54" s="8" t="s">
        <v>89</v>
      </c>
    </row>
    <row r="55" customFormat="false" ht="15" hidden="false" customHeight="false" outlineLevel="0" collapsed="false">
      <c r="A55" s="3" t="s">
        <v>90</v>
      </c>
      <c r="B55" s="4"/>
      <c r="C55" s="5"/>
    </row>
    <row r="56" customFormat="false" ht="15" hidden="false" customHeight="false" outlineLevel="0" collapsed="false">
      <c r="A56" s="9" t="s">
        <v>91</v>
      </c>
      <c r="B56" s="13" t="n">
        <v>5000</v>
      </c>
      <c r="C56" s="11" t="s">
        <v>92</v>
      </c>
    </row>
    <row r="57" customFormat="false" ht="15" hidden="false" customHeight="false" outlineLevel="0" collapsed="false">
      <c r="A57" s="6" t="s">
        <v>93</v>
      </c>
      <c r="B57" s="7" t="n">
        <v>2000</v>
      </c>
      <c r="C57" s="8" t="s">
        <v>94</v>
      </c>
    </row>
    <row r="58" customFormat="false" ht="15" hidden="false" customHeight="false" outlineLevel="0" collapsed="false">
      <c r="A58" s="9" t="s">
        <v>95</v>
      </c>
      <c r="B58" s="13" t="n">
        <v>3000</v>
      </c>
      <c r="C58" s="11" t="s">
        <v>96</v>
      </c>
    </row>
    <row r="59" customFormat="false" ht="15" hidden="false" customHeight="false" outlineLevel="0" collapsed="false">
      <c r="A59" s="6" t="s">
        <v>97</v>
      </c>
      <c r="B59" s="7" t="n">
        <v>4000</v>
      </c>
      <c r="C59" s="8" t="s">
        <v>98</v>
      </c>
    </row>
    <row r="60" customFormat="false" ht="15" hidden="false" customHeight="false" outlineLevel="0" collapsed="false">
      <c r="A60" s="9" t="s">
        <v>99</v>
      </c>
      <c r="B60" s="13" t="n">
        <v>1500</v>
      </c>
      <c r="C60" s="11" t="s">
        <v>100</v>
      </c>
    </row>
    <row r="61" customFormat="false" ht="15" hidden="false" customHeight="false" outlineLevel="0" collapsed="false">
      <c r="A61" s="6" t="s">
        <v>101</v>
      </c>
      <c r="B61" s="7" t="n">
        <v>3000</v>
      </c>
      <c r="C61" s="8" t="s">
        <v>102</v>
      </c>
    </row>
    <row r="62" customFormat="false" ht="15" hidden="false" customHeight="false" outlineLevel="0" collapsed="false">
      <c r="A62" s="9" t="s">
        <v>103</v>
      </c>
      <c r="B62" s="13" t="n">
        <v>3000</v>
      </c>
      <c r="C62" s="11" t="s">
        <v>104</v>
      </c>
    </row>
    <row r="63" customFormat="false" ht="15" hidden="false" customHeight="false" outlineLevel="0" collapsed="false">
      <c r="A63" s="3" t="s">
        <v>105</v>
      </c>
      <c r="B63" s="4"/>
      <c r="C63" s="5"/>
    </row>
    <row r="64" customFormat="false" ht="15" hidden="false" customHeight="false" outlineLevel="0" collapsed="false">
      <c r="A64" s="6" t="s">
        <v>106</v>
      </c>
      <c r="B64" s="7" t="n">
        <v>15000</v>
      </c>
      <c r="C64" s="8" t="s">
        <v>107</v>
      </c>
    </row>
    <row r="65" customFormat="false" ht="15" hidden="false" customHeight="false" outlineLevel="0" collapsed="false">
      <c r="A65" s="9" t="s">
        <v>108</v>
      </c>
      <c r="B65" s="13" t="n">
        <v>2000</v>
      </c>
      <c r="C65" s="11" t="s">
        <v>109</v>
      </c>
    </row>
    <row r="66" customFormat="false" ht="15" hidden="false" customHeight="false" outlineLevel="0" collapsed="false">
      <c r="A66" s="3" t="s">
        <v>110</v>
      </c>
      <c r="B66" s="4"/>
      <c r="C66" s="5"/>
    </row>
    <row r="67" customFormat="false" ht="15" hidden="false" customHeight="false" outlineLevel="0" collapsed="false">
      <c r="A67" s="6" t="s">
        <v>111</v>
      </c>
      <c r="B67" s="7" t="n">
        <v>8000</v>
      </c>
      <c r="C67" s="8" t="s">
        <v>112</v>
      </c>
    </row>
    <row r="68" customFormat="false" ht="15" hidden="false" customHeight="false" outlineLevel="0" collapsed="false">
      <c r="A68" s="9" t="s">
        <v>113</v>
      </c>
      <c r="B68" s="13" t="n">
        <v>1500</v>
      </c>
      <c r="C68" s="11" t="s">
        <v>114</v>
      </c>
    </row>
    <row r="69" customFormat="false" ht="15" hidden="false" customHeight="false" outlineLevel="0" collapsed="false">
      <c r="A69" s="3" t="s">
        <v>115</v>
      </c>
      <c r="B69" s="4"/>
      <c r="C69" s="5"/>
    </row>
    <row r="70" customFormat="false" ht="15" hidden="false" customHeight="false" outlineLevel="0" collapsed="false">
      <c r="A70" s="6" t="s">
        <v>116</v>
      </c>
      <c r="B70" s="12" t="n">
        <v>0.26</v>
      </c>
      <c r="C70" s="8" t="s">
        <v>117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30" hidden="false" customHeight="true" outlineLevel="0" collapsed="false">
      <c r="A1" s="14" t="s">
        <v>118</v>
      </c>
      <c r="B1" s="14"/>
      <c r="C1" s="14"/>
      <c r="D1" s="14"/>
    </row>
    <row r="2" customFormat="false" ht="19.5" hidden="false" customHeight="true" outlineLevel="0" collapsed="false">
      <c r="A2" s="15" t="s">
        <v>119</v>
      </c>
      <c r="B2" s="15"/>
      <c r="C2" s="15"/>
      <c r="D2" s="15"/>
    </row>
    <row r="4" customFormat="false" ht="21.75" hidden="false" customHeight="true" outlineLevel="0" collapsed="false">
      <c r="A4" s="2" t="s">
        <v>120</v>
      </c>
      <c r="B4" s="2" t="s">
        <v>121</v>
      </c>
      <c r="C4" s="2" t="s">
        <v>122</v>
      </c>
      <c r="D4" s="2" t="s">
        <v>3</v>
      </c>
    </row>
    <row r="5" customFormat="false" ht="21.75" hidden="false" customHeight="true" outlineLevel="0" collapsed="false">
      <c r="A5" s="16" t="s">
        <v>123</v>
      </c>
      <c r="B5" s="16"/>
      <c r="C5" s="16"/>
      <c r="D5" s="16"/>
    </row>
    <row r="6" customFormat="false" ht="15.75" hidden="false" customHeight="true" outlineLevel="0" collapsed="false">
      <c r="A6" s="9" t="s">
        <v>124</v>
      </c>
      <c r="B6" s="17" t="n">
        <f aca="false">2200*0.4*449</f>
        <v>395120</v>
      </c>
      <c r="C6" s="18" t="n">
        <f aca="false">B6/B$16</f>
        <v>-6.47343285375304</v>
      </c>
      <c r="D6" s="19" t="s">
        <v>125</v>
      </c>
    </row>
    <row r="7" customFormat="false" ht="15.75" hidden="false" customHeight="true" outlineLevel="0" collapsed="false">
      <c r="A7" s="6" t="s">
        <v>126</v>
      </c>
      <c r="B7" s="20" t="n">
        <f aca="false">2200*0.6*499</f>
        <v>658680</v>
      </c>
      <c r="C7" s="21" t="n">
        <f aca="false">B7/B$16</f>
        <v>-10.7914576637732</v>
      </c>
      <c r="D7" s="22" t="s">
        <v>127</v>
      </c>
    </row>
    <row r="8" customFormat="false" ht="15.75" hidden="false" customHeight="true" outlineLevel="0" collapsed="false">
      <c r="A8" s="9" t="s">
        <v>128</v>
      </c>
      <c r="B8" s="17" t="n">
        <f aca="false">2200*0.45*250</f>
        <v>247500</v>
      </c>
      <c r="C8" s="18" t="n">
        <f aca="false">B8/B$16</f>
        <v>-4.05490643678852</v>
      </c>
      <c r="D8" s="19" t="s">
        <v>129</v>
      </c>
    </row>
    <row r="9" customFormat="false" ht="19.5" hidden="false" customHeight="true" outlineLevel="0" collapsed="false">
      <c r="A9" s="23" t="s">
        <v>130</v>
      </c>
      <c r="B9" s="24" t="n">
        <f aca="false">SUM(B6:B8)</f>
        <v>1301300</v>
      </c>
      <c r="C9" s="25" t="n">
        <f aca="false">B9/B$16</f>
        <v>-21.3197969543147</v>
      </c>
      <c r="D9" s="26" t="s">
        <v>131</v>
      </c>
    </row>
    <row r="10" customFormat="false" ht="15.75" hidden="false" customHeight="true" outlineLevel="0" collapsed="false">
      <c r="A10" s="27" t="s">
        <v>132</v>
      </c>
      <c r="B10" s="28" t="n">
        <f aca="false">-B9*0.015</f>
        <v>-19519.5</v>
      </c>
      <c r="C10" s="29" t="n">
        <f aca="false">B10/B$16</f>
        <v>0.319796954314721</v>
      </c>
      <c r="D10" s="19" t="s">
        <v>133</v>
      </c>
    </row>
    <row r="11" customFormat="false" ht="19.5" hidden="false" customHeight="true" outlineLevel="0" collapsed="false">
      <c r="A11" s="3" t="s">
        <v>134</v>
      </c>
      <c r="B11" s="30" t="n">
        <f aca="false">B9+B10</f>
        <v>1281780.5</v>
      </c>
      <c r="C11" s="31" t="n">
        <f aca="false">B11/B$16</f>
        <v>-21</v>
      </c>
      <c r="D11" s="32" t="s">
        <v>135</v>
      </c>
    </row>
    <row r="12" customFormat="false" ht="6" hidden="false" customHeight="true" outlineLevel="0" collapsed="false">
      <c r="A12" s="33"/>
      <c r="B12" s="33"/>
      <c r="C12" s="33"/>
      <c r="D12" s="33"/>
    </row>
    <row r="13" customFormat="false" ht="21.75" hidden="false" customHeight="true" outlineLevel="0" collapsed="false">
      <c r="A13" s="16" t="s">
        <v>136</v>
      </c>
      <c r="B13" s="16"/>
      <c r="C13" s="16"/>
      <c r="D13" s="16"/>
    </row>
    <row r="14" customFormat="false" ht="15.75" hidden="false" customHeight="true" outlineLevel="0" collapsed="false">
      <c r="A14" s="27" t="s">
        <v>137</v>
      </c>
      <c r="B14" s="28" t="n">
        <f aca="false">-B11*0.7*0.23</f>
        <v>-206366.6605</v>
      </c>
      <c r="C14" s="29" t="n">
        <f aca="false">B13/B$16</f>
        <v>-0</v>
      </c>
      <c r="D14" s="19" t="s">
        <v>138</v>
      </c>
    </row>
    <row r="15" customFormat="false" ht="15.75" hidden="false" customHeight="true" outlineLevel="0" collapsed="false">
      <c r="A15" s="34" t="s">
        <v>139</v>
      </c>
      <c r="B15" s="35" t="n">
        <f aca="false">-B11*0.3*0.23</f>
        <v>-88442.8545</v>
      </c>
      <c r="C15" s="36" t="n">
        <f aca="false">B14/B$16</f>
        <v>3.381</v>
      </c>
      <c r="D15" s="22" t="s">
        <v>140</v>
      </c>
    </row>
    <row r="16" customFormat="false" ht="15.75" hidden="false" customHeight="true" outlineLevel="0" collapsed="false">
      <c r="A16" s="27" t="s">
        <v>141</v>
      </c>
      <c r="B16" s="28" t="n">
        <f aca="false">-B11*(5/105)</f>
        <v>-61037.1666666667</v>
      </c>
      <c r="C16" s="29" t="n">
        <f aca="false">B15/B$16</f>
        <v>1.449</v>
      </c>
      <c r="D16" s="19" t="s">
        <v>142</v>
      </c>
    </row>
    <row r="17" customFormat="false" ht="19.5" hidden="false" customHeight="true" outlineLevel="0" collapsed="false">
      <c r="A17" s="37" t="s">
        <v>143</v>
      </c>
      <c r="B17" s="38" t="n">
        <f aca="false">B11+B14+B15+B16</f>
        <v>925933.818333333</v>
      </c>
      <c r="C17" s="39" t="n">
        <f aca="false">B17/B$16</f>
        <v>-15.17</v>
      </c>
      <c r="D17" s="40" t="s">
        <v>144</v>
      </c>
    </row>
    <row r="18" customFormat="false" ht="6" hidden="false" customHeight="true" outlineLevel="0" collapsed="false">
      <c r="A18" s="33"/>
      <c r="B18" s="33"/>
      <c r="C18" s="33"/>
      <c r="D18" s="33"/>
    </row>
    <row r="19" customFormat="false" ht="21.75" hidden="false" customHeight="true" outlineLevel="0" collapsed="false">
      <c r="A19" s="16" t="s">
        <v>145</v>
      </c>
      <c r="B19" s="16"/>
      <c r="C19" s="16"/>
      <c r="D19" s="16"/>
    </row>
    <row r="20" customFormat="false" ht="18" hidden="false" customHeight="true" outlineLevel="0" collapsed="false">
      <c r="A20" s="3" t="s">
        <v>146</v>
      </c>
      <c r="B20" s="3"/>
      <c r="C20" s="3"/>
      <c r="D20" s="3"/>
    </row>
    <row r="21" customFormat="false" ht="15.75" hidden="false" customHeight="true" outlineLevel="0" collapsed="false">
      <c r="A21" s="6" t="s">
        <v>147</v>
      </c>
      <c r="B21" s="20" t="n">
        <v>110000</v>
      </c>
      <c r="C21" s="21" t="n">
        <f aca="false">B20/B$11</f>
        <v>0</v>
      </c>
      <c r="D21" s="22" t="s">
        <v>148</v>
      </c>
    </row>
    <row r="22" customFormat="false" ht="15.75" hidden="false" customHeight="true" outlineLevel="0" collapsed="false">
      <c r="A22" s="9" t="s">
        <v>149</v>
      </c>
      <c r="B22" s="17" t="n">
        <v>20000</v>
      </c>
      <c r="C22" s="18" t="n">
        <f aca="false">B21/B$11</f>
        <v>0.0858181256463178</v>
      </c>
      <c r="D22" s="19" t="s">
        <v>150</v>
      </c>
    </row>
    <row r="23" customFormat="false" ht="15.75" hidden="false" customHeight="true" outlineLevel="0" collapsed="false">
      <c r="A23" s="6" t="s">
        <v>151</v>
      </c>
      <c r="B23" s="20" t="n">
        <v>25000</v>
      </c>
      <c r="C23" s="21" t="n">
        <f aca="false">B22/B$11</f>
        <v>0.0156032955720578</v>
      </c>
      <c r="D23" s="22" t="s">
        <v>152</v>
      </c>
    </row>
    <row r="24" customFormat="false" ht="15.75" hidden="false" customHeight="true" outlineLevel="0" collapsed="false">
      <c r="A24" s="9" t="s">
        <v>153</v>
      </c>
      <c r="B24" s="17" t="n">
        <v>18000</v>
      </c>
      <c r="C24" s="18" t="n">
        <f aca="false">B23/B$11</f>
        <v>0.0195041194650722</v>
      </c>
      <c r="D24" s="19" t="s">
        <v>154</v>
      </c>
    </row>
    <row r="25" customFormat="false" ht="15.75" hidden="false" customHeight="true" outlineLevel="0" collapsed="false">
      <c r="A25" s="6" t="s">
        <v>155</v>
      </c>
      <c r="B25" s="20" t="n">
        <v>22000</v>
      </c>
      <c r="C25" s="21" t="n">
        <f aca="false">B24/B$11</f>
        <v>0.014042966014852</v>
      </c>
      <c r="D25" s="22" t="s">
        <v>156</v>
      </c>
    </row>
    <row r="26" customFormat="false" ht="15.75" hidden="false" customHeight="true" outlineLevel="0" collapsed="false">
      <c r="A26" s="9" t="s">
        <v>157</v>
      </c>
      <c r="B26" s="17" t="n">
        <v>8000</v>
      </c>
      <c r="C26" s="18" t="n">
        <f aca="false">B25/B$11</f>
        <v>0.0171636251292636</v>
      </c>
      <c r="D26" s="19" t="s">
        <v>158</v>
      </c>
    </row>
    <row r="27" customFormat="false" ht="15.75" hidden="false" customHeight="true" outlineLevel="0" collapsed="false">
      <c r="A27" s="6" t="s">
        <v>159</v>
      </c>
      <c r="B27" s="20" t="n">
        <v>15000</v>
      </c>
      <c r="C27" s="21" t="n">
        <f aca="false">B26/B$11</f>
        <v>0.00624131822882311</v>
      </c>
      <c r="D27" s="22" t="s">
        <v>40</v>
      </c>
    </row>
    <row r="28" customFormat="false" ht="15.75" hidden="false" customHeight="true" outlineLevel="0" collapsed="false">
      <c r="A28" s="9" t="s">
        <v>160</v>
      </c>
      <c r="B28" s="17" t="n">
        <v>12000</v>
      </c>
      <c r="C28" s="18" t="n">
        <f aca="false">B27/B$11</f>
        <v>0.0117024716790433</v>
      </c>
      <c r="D28" s="19" t="s">
        <v>161</v>
      </c>
    </row>
    <row r="29" customFormat="false" ht="15.75" hidden="false" customHeight="true" outlineLevel="0" collapsed="false">
      <c r="A29" s="6" t="s">
        <v>162</v>
      </c>
      <c r="B29" s="20" t="n">
        <v>35000</v>
      </c>
      <c r="C29" s="21" t="n">
        <f aca="false">B28/B$11</f>
        <v>0.00936197734323467</v>
      </c>
      <c r="D29" s="22" t="s">
        <v>163</v>
      </c>
    </row>
    <row r="30" customFormat="false" ht="19.5" hidden="false" customHeight="true" outlineLevel="0" collapsed="false">
      <c r="A30" s="41" t="s">
        <v>164</v>
      </c>
      <c r="B30" s="42" t="n">
        <f aca="false">SUM(B21:B29)</f>
        <v>265000</v>
      </c>
      <c r="C30" s="43" t="n">
        <f aca="false">B30/B$11</f>
        <v>0.206743666329766</v>
      </c>
      <c r="D30" s="44"/>
    </row>
    <row r="31" customFormat="false" ht="18" hidden="false" customHeight="true" outlineLevel="0" collapsed="false">
      <c r="A31" s="3" t="s">
        <v>165</v>
      </c>
      <c r="B31" s="3"/>
      <c r="C31" s="3"/>
      <c r="D31" s="3"/>
    </row>
    <row r="32" customFormat="false" ht="15.75" hidden="false" customHeight="true" outlineLevel="0" collapsed="false">
      <c r="A32" s="9" t="s">
        <v>166</v>
      </c>
      <c r="B32" s="17" t="n">
        <v>22000</v>
      </c>
      <c r="C32" s="18" t="n">
        <f aca="false">B31/B$11</f>
        <v>0</v>
      </c>
      <c r="D32" s="19" t="s">
        <v>167</v>
      </c>
    </row>
    <row r="33" customFormat="false" ht="15.75" hidden="false" customHeight="true" outlineLevel="0" collapsed="false">
      <c r="A33" s="6" t="s">
        <v>168</v>
      </c>
      <c r="B33" s="20" t="n">
        <v>12000</v>
      </c>
      <c r="C33" s="21" t="n">
        <f aca="false">B32/B$11</f>
        <v>0.0171636251292636</v>
      </c>
      <c r="D33" s="22" t="s">
        <v>169</v>
      </c>
    </row>
    <row r="34" customFormat="false" ht="15.75" hidden="false" customHeight="true" outlineLevel="0" collapsed="false">
      <c r="A34" s="9" t="s">
        <v>170</v>
      </c>
      <c r="B34" s="17" t="n">
        <v>3000</v>
      </c>
      <c r="C34" s="18" t="n">
        <f aca="false">B33/B$11</f>
        <v>0.00936197734323467</v>
      </c>
      <c r="D34" s="19" t="s">
        <v>171</v>
      </c>
    </row>
    <row r="35" customFormat="false" ht="15.75" hidden="false" customHeight="true" outlineLevel="0" collapsed="false">
      <c r="A35" s="45" t="s">
        <v>172</v>
      </c>
      <c r="B35" s="46" t="n">
        <v>0</v>
      </c>
      <c r="C35" s="47" t="n">
        <f aca="false">B34/B$11</f>
        <v>0.00234049433580867</v>
      </c>
      <c r="D35" s="22" t="s">
        <v>173</v>
      </c>
    </row>
    <row r="36" customFormat="false" ht="19.5" hidden="false" customHeight="true" outlineLevel="0" collapsed="false">
      <c r="A36" s="41" t="s">
        <v>174</v>
      </c>
      <c r="B36" s="42" t="n">
        <f aca="false">SUM(B32:B35)</f>
        <v>37000</v>
      </c>
      <c r="C36" s="43" t="n">
        <f aca="false">B36/B$11</f>
        <v>0.0288660968083069</v>
      </c>
      <c r="D36" s="44"/>
    </row>
    <row r="37" customFormat="false" ht="18" hidden="false" customHeight="true" outlineLevel="0" collapsed="false">
      <c r="A37" s="3" t="s">
        <v>175</v>
      </c>
      <c r="B37" s="3"/>
      <c r="C37" s="3"/>
      <c r="D37" s="3"/>
    </row>
    <row r="38" customFormat="false" ht="15.75" hidden="false" customHeight="true" outlineLevel="0" collapsed="false">
      <c r="A38" s="9" t="s">
        <v>176</v>
      </c>
      <c r="B38" s="17" t="n">
        <v>18000</v>
      </c>
      <c r="C38" s="18" t="n">
        <f aca="false">B37/B$11</f>
        <v>0</v>
      </c>
      <c r="D38" s="19" t="s">
        <v>177</v>
      </c>
    </row>
    <row r="39" customFormat="false" ht="15.75" hidden="false" customHeight="true" outlineLevel="0" collapsed="false">
      <c r="A39" s="6" t="s">
        <v>178</v>
      </c>
      <c r="B39" s="20" t="n">
        <v>5000</v>
      </c>
      <c r="C39" s="21" t="n">
        <f aca="false">B38/B$11</f>
        <v>0.014042966014852</v>
      </c>
      <c r="D39" s="22" t="s">
        <v>179</v>
      </c>
    </row>
    <row r="40" customFormat="false" ht="15.75" hidden="false" customHeight="true" outlineLevel="0" collapsed="false">
      <c r="A40" s="9" t="s">
        <v>180</v>
      </c>
      <c r="B40" s="17" t="n">
        <v>2000</v>
      </c>
      <c r="C40" s="18" t="n">
        <f aca="false">B39/B$11</f>
        <v>0.00390082389301444</v>
      </c>
      <c r="D40" s="19" t="s">
        <v>181</v>
      </c>
    </row>
    <row r="41" customFormat="false" ht="15.75" hidden="false" customHeight="true" outlineLevel="0" collapsed="false">
      <c r="A41" s="45" t="s">
        <v>182</v>
      </c>
      <c r="B41" s="46" t="n">
        <v>0</v>
      </c>
      <c r="C41" s="47" t="n">
        <f aca="false">B40/B$11</f>
        <v>0.00156032955720578</v>
      </c>
      <c r="D41" s="22" t="s">
        <v>183</v>
      </c>
    </row>
    <row r="42" customFormat="false" ht="19.5" hidden="false" customHeight="true" outlineLevel="0" collapsed="false">
      <c r="A42" s="41" t="s">
        <v>184</v>
      </c>
      <c r="B42" s="42" t="n">
        <f aca="false">SUM(B38:B41)</f>
        <v>25000</v>
      </c>
      <c r="C42" s="43" t="n">
        <f aca="false">B42/B$11</f>
        <v>0.0195041194650722</v>
      </c>
      <c r="D42" s="44"/>
    </row>
    <row r="43" customFormat="false" ht="19.5" hidden="false" customHeight="true" outlineLevel="0" collapsed="false">
      <c r="A43" s="37" t="s">
        <v>185</v>
      </c>
      <c r="B43" s="38" t="n">
        <f aca="false">B30+B36+B42</f>
        <v>327000</v>
      </c>
      <c r="C43" s="39" t="n">
        <f aca="false">B43/B$11</f>
        <v>0.255113882603145</v>
      </c>
      <c r="D43" s="40" t="s">
        <v>186</v>
      </c>
    </row>
    <row r="44" customFormat="false" ht="6" hidden="false" customHeight="true" outlineLevel="0" collapsed="false">
      <c r="A44" s="33"/>
      <c r="B44" s="33"/>
      <c r="C44" s="33"/>
      <c r="D44" s="33"/>
    </row>
    <row r="45" customFormat="false" ht="19.5" hidden="false" customHeight="true" outlineLevel="0" collapsed="false">
      <c r="A45" s="48" t="s">
        <v>187</v>
      </c>
      <c r="B45" s="49" t="n">
        <f aca="false">B17-B43</f>
        <v>598933.818333333</v>
      </c>
      <c r="C45" s="50" t="n">
        <f aca="false">B45/B$11</f>
        <v>0.467267069777808</v>
      </c>
      <c r="D45" s="51" t="s">
        <v>188</v>
      </c>
    </row>
    <row r="46" customFormat="false" ht="6" hidden="false" customHeight="true" outlineLevel="0" collapsed="false">
      <c r="A46" s="33"/>
      <c r="B46" s="33"/>
      <c r="C46" s="33"/>
      <c r="D46" s="33"/>
    </row>
    <row r="47" customFormat="false" ht="21.75" hidden="false" customHeight="true" outlineLevel="0" collapsed="false">
      <c r="A47" s="16" t="s">
        <v>189</v>
      </c>
      <c r="B47" s="16"/>
      <c r="C47" s="16"/>
      <c r="D47" s="16"/>
    </row>
    <row r="48" customFormat="false" ht="18" hidden="false" customHeight="true" outlineLevel="0" collapsed="false">
      <c r="A48" s="3" t="s">
        <v>190</v>
      </c>
      <c r="B48" s="3"/>
      <c r="C48" s="3"/>
      <c r="D48" s="3"/>
    </row>
    <row r="49" customFormat="false" ht="15.75" hidden="false" customHeight="true" outlineLevel="0" collapsed="false">
      <c r="A49" s="34" t="s">
        <v>191</v>
      </c>
      <c r="B49" s="35" t="n">
        <v>200000</v>
      </c>
      <c r="C49" s="36" t="n">
        <f aca="false">B48/B$11</f>
        <v>0</v>
      </c>
      <c r="D49" s="22" t="s">
        <v>192</v>
      </c>
    </row>
    <row r="50" customFormat="false" ht="15.75" hidden="false" customHeight="true" outlineLevel="0" collapsed="false">
      <c r="A50" s="27" t="s">
        <v>193</v>
      </c>
      <c r="B50" s="28" t="n">
        <f aca="false">B49*0.1375</f>
        <v>27500</v>
      </c>
      <c r="C50" s="29" t="n">
        <f aca="false">B49/B$11</f>
        <v>0.156032955720578</v>
      </c>
      <c r="D50" s="19" t="s">
        <v>194</v>
      </c>
    </row>
    <row r="51" customFormat="false" ht="15.75" hidden="false" customHeight="true" outlineLevel="0" collapsed="false">
      <c r="A51" s="34" t="s">
        <v>195</v>
      </c>
      <c r="B51" s="35" t="n">
        <v>5000</v>
      </c>
      <c r="C51" s="36" t="n">
        <f aca="false">B50/B$11</f>
        <v>0.0214545314115794</v>
      </c>
      <c r="D51" s="22" t="s">
        <v>196</v>
      </c>
    </row>
    <row r="52" customFormat="false" ht="15.75" hidden="false" customHeight="true" outlineLevel="0" collapsed="false">
      <c r="A52" s="52" t="s">
        <v>197</v>
      </c>
      <c r="B52" s="53" t="n">
        <v>0</v>
      </c>
      <c r="C52" s="54" t="n">
        <f aca="false">B51/B$11</f>
        <v>0.00390082389301444</v>
      </c>
      <c r="D52" s="19" t="s">
        <v>198</v>
      </c>
    </row>
    <row r="53" customFormat="false" ht="15.75" hidden="false" customHeight="true" outlineLevel="0" collapsed="false">
      <c r="A53" s="45" t="s">
        <v>199</v>
      </c>
      <c r="B53" s="46" t="n">
        <v>0</v>
      </c>
      <c r="C53" s="47" t="n">
        <f aca="false">B52/B$11</f>
        <v>0</v>
      </c>
      <c r="D53" s="22" t="s">
        <v>200</v>
      </c>
    </row>
    <row r="54" customFormat="false" ht="19.5" hidden="false" customHeight="true" outlineLevel="0" collapsed="false">
      <c r="A54" s="55" t="s">
        <v>201</v>
      </c>
      <c r="B54" s="56" t="n">
        <f aca="false">SUM(B49:B53)</f>
        <v>232500</v>
      </c>
      <c r="C54" s="57" t="n">
        <f aca="false">B54/B$11</f>
        <v>0.181388311025172</v>
      </c>
      <c r="D54" s="58"/>
    </row>
    <row r="55" customFormat="false" ht="18" hidden="false" customHeight="true" outlineLevel="0" collapsed="false">
      <c r="A55" s="3" t="s">
        <v>202</v>
      </c>
      <c r="B55" s="3"/>
      <c r="C55" s="3"/>
      <c r="D55" s="3"/>
    </row>
    <row r="56" customFormat="false" ht="15.75" hidden="false" customHeight="true" outlineLevel="0" collapsed="false">
      <c r="A56" s="27" t="s">
        <v>203</v>
      </c>
      <c r="B56" s="28" t="n">
        <v>32000</v>
      </c>
      <c r="C56" s="29" t="n">
        <f aca="false">B55/B$11</f>
        <v>0</v>
      </c>
      <c r="D56" s="19" t="s">
        <v>204</v>
      </c>
    </row>
    <row r="57" customFormat="false" ht="15.75" hidden="false" customHeight="true" outlineLevel="0" collapsed="false">
      <c r="A57" s="34" t="s">
        <v>205</v>
      </c>
      <c r="B57" s="35" t="n">
        <v>18000</v>
      </c>
      <c r="C57" s="36" t="n">
        <f aca="false">B56/B$11</f>
        <v>0.0249652729152924</v>
      </c>
      <c r="D57" s="22" t="s">
        <v>206</v>
      </c>
    </row>
    <row r="58" customFormat="false" ht="15.75" hidden="false" customHeight="true" outlineLevel="0" collapsed="false">
      <c r="A58" s="27" t="s">
        <v>207</v>
      </c>
      <c r="B58" s="28" t="n">
        <v>3000</v>
      </c>
      <c r="C58" s="29" t="n">
        <f aca="false">B57/B$11</f>
        <v>0.014042966014852</v>
      </c>
      <c r="D58" s="19" t="s">
        <v>208</v>
      </c>
    </row>
    <row r="59" customFormat="false" ht="15.75" hidden="false" customHeight="true" outlineLevel="0" collapsed="false">
      <c r="A59" s="34" t="s">
        <v>209</v>
      </c>
      <c r="B59" s="35" t="n">
        <v>2000</v>
      </c>
      <c r="C59" s="36" t="n">
        <f aca="false">B58/B$11</f>
        <v>0.00234049433580867</v>
      </c>
      <c r="D59" s="22" t="s">
        <v>210</v>
      </c>
    </row>
    <row r="60" customFormat="false" ht="15.75" hidden="false" customHeight="true" outlineLevel="0" collapsed="false">
      <c r="A60" s="52" t="s">
        <v>211</v>
      </c>
      <c r="B60" s="53" t="n">
        <v>0</v>
      </c>
      <c r="C60" s="54" t="n">
        <f aca="false">B59/B$11</f>
        <v>0.00156032955720578</v>
      </c>
      <c r="D60" s="19" t="s">
        <v>212</v>
      </c>
    </row>
    <row r="61" customFormat="false" ht="19.5" hidden="false" customHeight="true" outlineLevel="0" collapsed="false">
      <c r="A61" s="55" t="s">
        <v>213</v>
      </c>
      <c r="B61" s="56" t="n">
        <f aca="false">SUM(B56:B60)</f>
        <v>55000</v>
      </c>
      <c r="C61" s="57" t="n">
        <f aca="false">B61/B$11</f>
        <v>0.0429090628231589</v>
      </c>
      <c r="D61" s="58"/>
    </row>
    <row r="62" customFormat="false" ht="18" hidden="false" customHeight="true" outlineLevel="0" collapsed="false">
      <c r="A62" s="3" t="s">
        <v>214</v>
      </c>
      <c r="B62" s="3"/>
      <c r="C62" s="3"/>
      <c r="D62" s="3"/>
    </row>
    <row r="63" customFormat="false" ht="15.75" hidden="false" customHeight="true" outlineLevel="0" collapsed="false">
      <c r="A63" s="34" t="s">
        <v>215</v>
      </c>
      <c r="B63" s="35" t="n">
        <v>10000</v>
      </c>
      <c r="C63" s="36" t="n">
        <f aca="false">B62/B$11</f>
        <v>0</v>
      </c>
      <c r="D63" s="22" t="s">
        <v>75</v>
      </c>
    </row>
    <row r="64" customFormat="false" ht="15.75" hidden="false" customHeight="true" outlineLevel="0" collapsed="false">
      <c r="A64" s="27" t="s">
        <v>216</v>
      </c>
      <c r="B64" s="28" t="n">
        <v>2000</v>
      </c>
      <c r="C64" s="29" t="n">
        <f aca="false">B63/B$11</f>
        <v>0.00780164778602889</v>
      </c>
      <c r="D64" s="19" t="s">
        <v>217</v>
      </c>
    </row>
    <row r="65" customFormat="false" ht="15.75" hidden="false" customHeight="true" outlineLevel="0" collapsed="false">
      <c r="A65" s="34" t="s">
        <v>218</v>
      </c>
      <c r="B65" s="35" t="n">
        <v>1500</v>
      </c>
      <c r="C65" s="36" t="n">
        <f aca="false">B64/B$11</f>
        <v>0.00156032955720578</v>
      </c>
      <c r="D65" s="22" t="s">
        <v>219</v>
      </c>
    </row>
    <row r="66" customFormat="false" ht="15.75" hidden="false" customHeight="true" outlineLevel="0" collapsed="false">
      <c r="A66" s="52" t="s">
        <v>220</v>
      </c>
      <c r="B66" s="53" t="n">
        <v>0</v>
      </c>
      <c r="C66" s="54" t="n">
        <f aca="false">B65/B$11</f>
        <v>0.00117024716790433</v>
      </c>
      <c r="D66" s="19" t="s">
        <v>221</v>
      </c>
    </row>
    <row r="67" customFormat="false" ht="15.75" hidden="false" customHeight="true" outlineLevel="0" collapsed="false">
      <c r="A67" s="45" t="s">
        <v>222</v>
      </c>
      <c r="B67" s="46" t="n">
        <v>0</v>
      </c>
      <c r="C67" s="47" t="n">
        <f aca="false">B66/B$11</f>
        <v>0</v>
      </c>
      <c r="D67" s="22" t="s">
        <v>223</v>
      </c>
    </row>
    <row r="68" customFormat="false" ht="15.75" hidden="false" customHeight="true" outlineLevel="0" collapsed="false">
      <c r="A68" s="52" t="s">
        <v>224</v>
      </c>
      <c r="B68" s="53" t="n">
        <v>0</v>
      </c>
      <c r="C68" s="54" t="n">
        <f aca="false">B67/B$11</f>
        <v>0</v>
      </c>
      <c r="D68" s="19" t="s">
        <v>225</v>
      </c>
    </row>
    <row r="69" customFormat="false" ht="19.5" hidden="false" customHeight="true" outlineLevel="0" collapsed="false">
      <c r="A69" s="55" t="s">
        <v>226</v>
      </c>
      <c r="B69" s="56" t="n">
        <f aca="false">SUM(B63:B68)</f>
        <v>13500</v>
      </c>
      <c r="C69" s="57" t="n">
        <f aca="false">B69/B$11</f>
        <v>0.010532224511139</v>
      </c>
      <c r="D69" s="58"/>
    </row>
    <row r="70" customFormat="false" ht="18" hidden="false" customHeight="true" outlineLevel="0" collapsed="false">
      <c r="A70" s="3" t="s">
        <v>227</v>
      </c>
      <c r="B70" s="3"/>
      <c r="C70" s="3"/>
      <c r="D70" s="3"/>
    </row>
    <row r="71" customFormat="false" ht="15.75" hidden="false" customHeight="true" outlineLevel="0" collapsed="false">
      <c r="A71" s="34" t="s">
        <v>228</v>
      </c>
      <c r="B71" s="35" t="n">
        <v>25000</v>
      </c>
      <c r="C71" s="36" t="n">
        <f aca="false">B70/B$11</f>
        <v>0</v>
      </c>
      <c r="D71" s="22" t="s">
        <v>229</v>
      </c>
    </row>
    <row r="72" customFormat="false" ht="15.75" hidden="false" customHeight="true" outlineLevel="0" collapsed="false">
      <c r="A72" s="27" t="s">
        <v>230</v>
      </c>
      <c r="B72" s="28" t="n">
        <v>10000</v>
      </c>
      <c r="C72" s="29" t="n">
        <f aca="false">B71/B$11</f>
        <v>0.0195041194650722</v>
      </c>
      <c r="D72" s="19" t="s">
        <v>231</v>
      </c>
    </row>
    <row r="73" customFormat="false" ht="15.75" hidden="false" customHeight="true" outlineLevel="0" collapsed="false">
      <c r="A73" s="34" t="s">
        <v>232</v>
      </c>
      <c r="B73" s="35" t="n">
        <v>8000</v>
      </c>
      <c r="C73" s="36" t="n">
        <f aca="false">B72/B$11</f>
        <v>0.00780164778602889</v>
      </c>
      <c r="D73" s="22" t="s">
        <v>233</v>
      </c>
    </row>
    <row r="74" customFormat="false" ht="15.75" hidden="false" customHeight="true" outlineLevel="0" collapsed="false">
      <c r="A74" s="27" t="s">
        <v>234</v>
      </c>
      <c r="B74" s="28" t="n">
        <v>5000</v>
      </c>
      <c r="C74" s="29" t="n">
        <f aca="false">B73/B$11</f>
        <v>0.00624131822882311</v>
      </c>
      <c r="D74" s="19" t="s">
        <v>235</v>
      </c>
    </row>
    <row r="75" customFormat="false" ht="15.75" hidden="false" customHeight="true" outlineLevel="0" collapsed="false">
      <c r="A75" s="34" t="s">
        <v>236</v>
      </c>
      <c r="B75" s="35" t="n">
        <v>15000</v>
      </c>
      <c r="C75" s="36" t="n">
        <f aca="false">B74/B$11</f>
        <v>0.00390082389301444</v>
      </c>
      <c r="D75" s="22" t="s">
        <v>237</v>
      </c>
    </row>
    <row r="76" customFormat="false" ht="15.75" hidden="false" customHeight="true" outlineLevel="0" collapsed="false">
      <c r="A76" s="52" t="s">
        <v>238</v>
      </c>
      <c r="B76" s="53" t="n">
        <v>0</v>
      </c>
      <c r="C76" s="54" t="n">
        <f aca="false">B75/B$11</f>
        <v>0.0117024716790433</v>
      </c>
      <c r="D76" s="19" t="s">
        <v>239</v>
      </c>
    </row>
    <row r="77" customFormat="false" ht="15.75" hidden="false" customHeight="true" outlineLevel="0" collapsed="false">
      <c r="A77" s="45" t="s">
        <v>240</v>
      </c>
      <c r="B77" s="46" t="n">
        <v>0</v>
      </c>
      <c r="C77" s="47" t="n">
        <f aca="false">B76/B$11</f>
        <v>0</v>
      </c>
      <c r="D77" s="22" t="s">
        <v>241</v>
      </c>
    </row>
    <row r="78" customFormat="false" ht="15.75" hidden="false" customHeight="true" outlineLevel="0" collapsed="false">
      <c r="A78" s="52" t="s">
        <v>242</v>
      </c>
      <c r="B78" s="53" t="n">
        <v>0</v>
      </c>
      <c r="C78" s="54" t="n">
        <f aca="false">B77/B$11</f>
        <v>0</v>
      </c>
      <c r="D78" s="19" t="s">
        <v>243</v>
      </c>
    </row>
    <row r="79" customFormat="false" ht="19.5" hidden="false" customHeight="true" outlineLevel="0" collapsed="false">
      <c r="A79" s="55" t="s">
        <v>244</v>
      </c>
      <c r="B79" s="56" t="n">
        <f aca="false">SUM(B71:B78)</f>
        <v>63000</v>
      </c>
      <c r="C79" s="57" t="n">
        <f aca="false">B79/B$11</f>
        <v>0.049150381051982</v>
      </c>
      <c r="D79" s="58"/>
    </row>
    <row r="80" customFormat="false" ht="18" hidden="false" customHeight="true" outlineLevel="0" collapsed="false">
      <c r="A80" s="3" t="s">
        <v>245</v>
      </c>
      <c r="B80" s="3"/>
      <c r="C80" s="3"/>
      <c r="D80" s="3"/>
    </row>
    <row r="81" customFormat="false" ht="15.75" hidden="false" customHeight="true" outlineLevel="0" collapsed="false">
      <c r="A81" s="34" t="s">
        <v>246</v>
      </c>
      <c r="B81" s="35" t="n">
        <v>5000</v>
      </c>
      <c r="C81" s="36" t="n">
        <f aca="false">B80/B$11</f>
        <v>0</v>
      </c>
      <c r="D81" s="22" t="s">
        <v>247</v>
      </c>
    </row>
    <row r="82" customFormat="false" ht="15.75" hidden="false" customHeight="true" outlineLevel="0" collapsed="false">
      <c r="A82" s="27" t="s">
        <v>248</v>
      </c>
      <c r="B82" s="28" t="n">
        <v>2000</v>
      </c>
      <c r="C82" s="29" t="n">
        <f aca="false">B81/B$11</f>
        <v>0.00390082389301444</v>
      </c>
      <c r="D82" s="19" t="s">
        <v>249</v>
      </c>
    </row>
    <row r="83" customFormat="false" ht="15.75" hidden="false" customHeight="true" outlineLevel="0" collapsed="false">
      <c r="A83" s="34" t="s">
        <v>250</v>
      </c>
      <c r="B83" s="35" t="n">
        <v>3000</v>
      </c>
      <c r="C83" s="36" t="n">
        <f aca="false">B82/B$11</f>
        <v>0.00156032955720578</v>
      </c>
      <c r="D83" s="22" t="s">
        <v>251</v>
      </c>
    </row>
    <row r="84" customFormat="false" ht="15.75" hidden="false" customHeight="true" outlineLevel="0" collapsed="false">
      <c r="A84" s="27" t="s">
        <v>252</v>
      </c>
      <c r="B84" s="28" t="n">
        <v>4000</v>
      </c>
      <c r="C84" s="29" t="n">
        <f aca="false">B83/B$11</f>
        <v>0.00234049433580867</v>
      </c>
      <c r="D84" s="19" t="s">
        <v>253</v>
      </c>
    </row>
    <row r="85" customFormat="false" ht="15.75" hidden="false" customHeight="true" outlineLevel="0" collapsed="false">
      <c r="A85" s="34" t="s">
        <v>254</v>
      </c>
      <c r="B85" s="35" t="n">
        <v>1500</v>
      </c>
      <c r="C85" s="36" t="n">
        <f aca="false">B84/B$11</f>
        <v>0.00312065911441156</v>
      </c>
      <c r="D85" s="22" t="s">
        <v>255</v>
      </c>
    </row>
    <row r="86" customFormat="false" ht="15.75" hidden="false" customHeight="true" outlineLevel="0" collapsed="false">
      <c r="A86" s="27" t="s">
        <v>256</v>
      </c>
      <c r="B86" s="28" t="n">
        <v>3000</v>
      </c>
      <c r="C86" s="29" t="n">
        <f aca="false">B85/B$11</f>
        <v>0.00117024716790433</v>
      </c>
      <c r="D86" s="19" t="s">
        <v>257</v>
      </c>
    </row>
    <row r="87" customFormat="false" ht="15.75" hidden="false" customHeight="true" outlineLevel="0" collapsed="false">
      <c r="A87" s="34" t="s">
        <v>258</v>
      </c>
      <c r="B87" s="35" t="n">
        <v>6000</v>
      </c>
      <c r="C87" s="36" t="n">
        <f aca="false">B86/B$11</f>
        <v>0.00234049433580867</v>
      </c>
      <c r="D87" s="22" t="s">
        <v>259</v>
      </c>
    </row>
    <row r="88" customFormat="false" ht="15.75" hidden="false" customHeight="true" outlineLevel="0" collapsed="false">
      <c r="A88" s="27" t="s">
        <v>260</v>
      </c>
      <c r="B88" s="28" t="n">
        <v>1000</v>
      </c>
      <c r="C88" s="29" t="n">
        <f aca="false">B87/B$11</f>
        <v>0.00468098867161733</v>
      </c>
      <c r="D88" s="19" t="s">
        <v>261</v>
      </c>
    </row>
    <row r="89" customFormat="false" ht="15.75" hidden="false" customHeight="true" outlineLevel="0" collapsed="false">
      <c r="A89" s="34" t="s">
        <v>262</v>
      </c>
      <c r="B89" s="35" t="n">
        <v>3000</v>
      </c>
      <c r="C89" s="36" t="n">
        <f aca="false">B88/B$11</f>
        <v>0.000780164778602889</v>
      </c>
      <c r="D89" s="22" t="s">
        <v>263</v>
      </c>
    </row>
    <row r="90" customFormat="false" ht="19.5" hidden="false" customHeight="true" outlineLevel="0" collapsed="false">
      <c r="A90" s="55" t="s">
        <v>264</v>
      </c>
      <c r="B90" s="56" t="n">
        <f aca="false">SUM(B81:B89)</f>
        <v>28500</v>
      </c>
      <c r="C90" s="57" t="n">
        <f aca="false">B90/B$11</f>
        <v>0.0222346961901823</v>
      </c>
      <c r="D90" s="58"/>
    </row>
    <row r="91" customFormat="false" ht="19.5" hidden="false" customHeight="true" outlineLevel="0" collapsed="false">
      <c r="A91" s="37" t="s">
        <v>265</v>
      </c>
      <c r="B91" s="38" t="n">
        <f aca="false">B54+B61+B69+B79+B90</f>
        <v>392500</v>
      </c>
      <c r="C91" s="39" t="n">
        <f aca="false">B91/B$11</f>
        <v>0.306214675601634</v>
      </c>
      <c r="D91" s="40" t="s">
        <v>266</v>
      </c>
    </row>
    <row r="92" customFormat="false" ht="6" hidden="false" customHeight="true" outlineLevel="0" collapsed="false">
      <c r="A92" s="33"/>
      <c r="B92" s="33"/>
      <c r="C92" s="33"/>
      <c r="D92" s="33"/>
    </row>
    <row r="93" customFormat="false" ht="19.5" hidden="false" customHeight="true" outlineLevel="0" collapsed="false">
      <c r="A93" s="59" t="s">
        <v>267</v>
      </c>
      <c r="B93" s="60" t="n">
        <f aca="false">B45-B91</f>
        <v>206433.818333333</v>
      </c>
      <c r="C93" s="61" t="n">
        <f aca="false">B93/B$11</f>
        <v>0.161052394176174</v>
      </c>
      <c r="D93" s="62" t="s">
        <v>268</v>
      </c>
    </row>
    <row r="94" customFormat="false" ht="6" hidden="false" customHeight="true" outlineLevel="0" collapsed="false">
      <c r="A94" s="33"/>
      <c r="B94" s="33"/>
      <c r="C94" s="33"/>
      <c r="D94" s="33"/>
    </row>
    <row r="95" customFormat="false" ht="21.75" hidden="false" customHeight="true" outlineLevel="0" collapsed="false">
      <c r="A95" s="16" t="s">
        <v>269</v>
      </c>
      <c r="B95" s="16"/>
      <c r="C95" s="16"/>
      <c r="D95" s="16"/>
    </row>
    <row r="96" customFormat="false" ht="15.75" hidden="false" customHeight="true" outlineLevel="0" collapsed="false">
      <c r="A96" s="27" t="s">
        <v>270</v>
      </c>
      <c r="B96" s="28" t="n">
        <v>15000</v>
      </c>
      <c r="C96" s="29" t="n">
        <f aca="false">B95/B$11</f>
        <v>0</v>
      </c>
      <c r="D96" s="19" t="s">
        <v>271</v>
      </c>
    </row>
    <row r="97" customFormat="false" ht="15.75" hidden="false" customHeight="true" outlineLevel="0" collapsed="false">
      <c r="A97" s="45" t="s">
        <v>272</v>
      </c>
      <c r="B97" s="46" t="n">
        <v>0</v>
      </c>
      <c r="C97" s="47" t="n">
        <f aca="false">B96/B$11</f>
        <v>0.0117024716790433</v>
      </c>
      <c r="D97" s="22" t="s">
        <v>273</v>
      </c>
    </row>
    <row r="98" customFormat="false" ht="15.75" hidden="false" customHeight="true" outlineLevel="0" collapsed="false">
      <c r="A98" s="27" t="s">
        <v>274</v>
      </c>
      <c r="B98" s="28" t="n">
        <v>2000</v>
      </c>
      <c r="C98" s="29" t="n">
        <f aca="false">B97/B$11</f>
        <v>0</v>
      </c>
      <c r="D98" s="19" t="s">
        <v>109</v>
      </c>
    </row>
    <row r="99" customFormat="false" ht="15.75" hidden="false" customHeight="true" outlineLevel="0" collapsed="false">
      <c r="A99" s="45" t="s">
        <v>275</v>
      </c>
      <c r="B99" s="46" t="n">
        <v>0</v>
      </c>
      <c r="C99" s="47" t="n">
        <f aca="false">B98/B$11</f>
        <v>0.00156032955720578</v>
      </c>
      <c r="D99" s="22" t="s">
        <v>276</v>
      </c>
    </row>
    <row r="100" customFormat="false" ht="19.5" hidden="false" customHeight="true" outlineLevel="0" collapsed="false">
      <c r="A100" s="41" t="s">
        <v>277</v>
      </c>
      <c r="B100" s="42" t="n">
        <f aca="false">SUM(B96:B99)</f>
        <v>17000</v>
      </c>
      <c r="C100" s="43" t="n">
        <f aca="false">B100/B$11</f>
        <v>0.0132628012362491</v>
      </c>
      <c r="D100" s="44"/>
    </row>
    <row r="101" customFormat="false" ht="6" hidden="false" customHeight="true" outlineLevel="0" collapsed="false">
      <c r="A101" s="33"/>
      <c r="B101" s="33"/>
      <c r="C101" s="33"/>
      <c r="D101" s="33"/>
    </row>
    <row r="102" customFormat="false" ht="19.5" hidden="false" customHeight="true" outlineLevel="0" collapsed="false">
      <c r="A102" s="59" t="s">
        <v>278</v>
      </c>
      <c r="B102" s="60" t="n">
        <f aca="false">B93-B100</f>
        <v>189433.818333333</v>
      </c>
      <c r="C102" s="61" t="n">
        <f aca="false">B102/B$11</f>
        <v>0.147789592939925</v>
      </c>
      <c r="D102" s="62" t="s">
        <v>279</v>
      </c>
    </row>
    <row r="103" customFormat="false" ht="6" hidden="false" customHeight="true" outlineLevel="0" collapsed="false">
      <c r="A103" s="33"/>
      <c r="B103" s="33"/>
      <c r="C103" s="33"/>
      <c r="D103" s="33"/>
    </row>
    <row r="104" customFormat="false" ht="21.75" hidden="false" customHeight="true" outlineLevel="0" collapsed="false">
      <c r="A104" s="16" t="s">
        <v>280</v>
      </c>
      <c r="B104" s="16"/>
      <c r="C104" s="16"/>
      <c r="D104" s="16"/>
    </row>
    <row r="105" customFormat="false" ht="15.75" hidden="false" customHeight="true" outlineLevel="0" collapsed="false">
      <c r="A105" s="34" t="s">
        <v>281</v>
      </c>
      <c r="B105" s="35" t="n">
        <v>8000</v>
      </c>
      <c r="C105" s="36" t="n">
        <f aca="false">B104/B$11</f>
        <v>0</v>
      </c>
      <c r="D105" s="22" t="s">
        <v>282</v>
      </c>
    </row>
    <row r="106" customFormat="false" ht="15.75" hidden="false" customHeight="true" outlineLevel="0" collapsed="false">
      <c r="A106" s="27" t="s">
        <v>283</v>
      </c>
      <c r="B106" s="28" t="n">
        <v>1500</v>
      </c>
      <c r="C106" s="29" t="n">
        <f aca="false">B105/B$11</f>
        <v>0.00624131822882311</v>
      </c>
      <c r="D106" s="19" t="s">
        <v>284</v>
      </c>
    </row>
    <row r="107" customFormat="false" ht="15.75" hidden="false" customHeight="true" outlineLevel="0" collapsed="false">
      <c r="A107" s="45" t="s">
        <v>285</v>
      </c>
      <c r="B107" s="46" t="n">
        <v>0</v>
      </c>
      <c r="C107" s="47" t="n">
        <f aca="false">B106/B$11</f>
        <v>0.00117024716790433</v>
      </c>
      <c r="D107" s="22" t="s">
        <v>286</v>
      </c>
    </row>
    <row r="108" customFormat="false" ht="19.5" hidden="false" customHeight="true" outlineLevel="0" collapsed="false">
      <c r="A108" s="41" t="s">
        <v>287</v>
      </c>
      <c r="B108" s="42" t="n">
        <f aca="false">SUM(B105:B107)</f>
        <v>9500</v>
      </c>
      <c r="C108" s="43" t="n">
        <f aca="false">B108/B$11</f>
        <v>0.00741156539672744</v>
      </c>
      <c r="D108" s="44"/>
    </row>
    <row r="109" customFormat="false" ht="6" hidden="false" customHeight="true" outlineLevel="0" collapsed="false">
      <c r="A109" s="33"/>
      <c r="B109" s="33"/>
      <c r="C109" s="33"/>
      <c r="D109" s="33"/>
    </row>
    <row r="110" customFormat="false" ht="19.5" hidden="false" customHeight="true" outlineLevel="0" collapsed="false">
      <c r="A110" s="59" t="s">
        <v>288</v>
      </c>
      <c r="B110" s="60" t="n">
        <f aca="false">B102-B108</f>
        <v>179933.818333333</v>
      </c>
      <c r="C110" s="61" t="n">
        <f aca="false">B110/B$11</f>
        <v>0.140378027543197</v>
      </c>
      <c r="D110" s="62" t="s">
        <v>289</v>
      </c>
    </row>
    <row r="111" customFormat="false" ht="6" hidden="false" customHeight="true" outlineLevel="0" collapsed="false">
      <c r="A111" s="33"/>
      <c r="B111" s="33"/>
      <c r="C111" s="33"/>
      <c r="D111" s="33"/>
    </row>
    <row r="112" customFormat="false" ht="21.75" hidden="false" customHeight="true" outlineLevel="0" collapsed="false">
      <c r="A112" s="16" t="s">
        <v>290</v>
      </c>
      <c r="B112" s="16"/>
      <c r="C112" s="16"/>
      <c r="D112" s="16"/>
    </row>
    <row r="113" customFormat="false" ht="15.75" hidden="false" customHeight="true" outlineLevel="0" collapsed="false">
      <c r="A113" s="34" t="s">
        <v>291</v>
      </c>
      <c r="B113" s="35" t="n">
        <f aca="false">IF(B110&gt;0,B110*0.26,0)</f>
        <v>46782.7927666667</v>
      </c>
      <c r="C113" s="36" t="n">
        <f aca="false">B112/B$11</f>
        <v>0</v>
      </c>
      <c r="D113" s="22" t="s">
        <v>292</v>
      </c>
    </row>
    <row r="114" customFormat="false" ht="15.75" hidden="false" customHeight="true" outlineLevel="0" collapsed="false">
      <c r="A114" s="52" t="s">
        <v>293</v>
      </c>
      <c r="B114" s="53" t="n">
        <v>0</v>
      </c>
      <c r="C114" s="54" t="n">
        <f aca="false">B113/B$11</f>
        <v>0.0364982871612313</v>
      </c>
      <c r="D114" s="19" t="s">
        <v>294</v>
      </c>
    </row>
    <row r="115" customFormat="false" ht="19.5" hidden="false" customHeight="true" outlineLevel="0" collapsed="false">
      <c r="A115" s="41" t="s">
        <v>295</v>
      </c>
      <c r="B115" s="42" t="n">
        <f aca="false">SUM(B113:B114)</f>
        <v>46782.7927666667</v>
      </c>
      <c r="C115" s="43" t="n">
        <f aca="false">B115/B$11</f>
        <v>0.0364982871612313</v>
      </c>
      <c r="D115" s="44"/>
    </row>
    <row r="116" customFormat="false" ht="6" hidden="false" customHeight="true" outlineLevel="0" collapsed="false">
      <c r="A116" s="33"/>
      <c r="B116" s="33"/>
      <c r="C116" s="33"/>
      <c r="D116" s="33"/>
    </row>
    <row r="117" customFormat="false" ht="19.5" hidden="false" customHeight="true" outlineLevel="0" collapsed="false">
      <c r="A117" s="63" t="s">
        <v>296</v>
      </c>
      <c r="B117" s="64" t="n">
        <f aca="false">B110-B115</f>
        <v>133151.025566667</v>
      </c>
      <c r="C117" s="65" t="n">
        <f aca="false">B117/B$11</f>
        <v>0.103879740381966</v>
      </c>
      <c r="D117" s="66" t="s">
        <v>297</v>
      </c>
    </row>
    <row r="118" customFormat="false" ht="6" hidden="false" customHeight="true" outlineLevel="0" collapsed="false">
      <c r="A118" s="33"/>
      <c r="B118" s="33"/>
      <c r="C118" s="33"/>
      <c r="D118" s="33"/>
    </row>
    <row r="119" customFormat="false" ht="6" hidden="false" customHeight="true" outlineLevel="0" collapsed="false">
      <c r="A119" s="33"/>
      <c r="B119" s="33"/>
      <c r="C119" s="33"/>
      <c r="D119" s="33"/>
    </row>
    <row r="120" customFormat="false" ht="21.75" hidden="false" customHeight="true" outlineLevel="0" collapsed="false">
      <c r="A120" s="16" t="s">
        <v>298</v>
      </c>
      <c r="B120" s="16"/>
      <c r="C120" s="16"/>
      <c r="D120" s="16"/>
    </row>
    <row r="121" customFormat="false" ht="16.5" hidden="false" customHeight="true" outlineLevel="0" collapsed="false">
      <c r="A121" s="9" t="s">
        <v>299</v>
      </c>
      <c r="B121" s="67" t="n">
        <f aca="false">2200</f>
        <v>2200</v>
      </c>
      <c r="C121" s="68"/>
      <c r="D121" s="69"/>
    </row>
    <row r="122" customFormat="false" ht="16.5" hidden="false" customHeight="true" outlineLevel="0" collapsed="false">
      <c r="A122" s="6" t="s">
        <v>300</v>
      </c>
      <c r="B122" s="70" t="n">
        <f aca="false">B11/2200</f>
        <v>582.6275</v>
      </c>
      <c r="C122" s="71"/>
      <c r="D122" s="72" t="s">
        <v>301</v>
      </c>
    </row>
    <row r="123" customFormat="false" ht="16.5" hidden="false" customHeight="true" outlineLevel="0" collapsed="false">
      <c r="A123" s="9" t="s">
        <v>302</v>
      </c>
      <c r="B123" s="73" t="n">
        <f aca="false">B9</f>
        <v>1301300</v>
      </c>
      <c r="C123" s="68"/>
      <c r="D123" s="69"/>
    </row>
    <row r="124" customFormat="false" ht="16.5" hidden="false" customHeight="true" outlineLevel="0" collapsed="false">
      <c r="A124" s="6" t="s">
        <v>303</v>
      </c>
      <c r="B124" s="70" t="n">
        <f aca="false">B11</f>
        <v>1281780.5</v>
      </c>
      <c r="C124" s="71"/>
      <c r="D124" s="72" t="s">
        <v>304</v>
      </c>
    </row>
    <row r="125" customFormat="false" ht="16.5" hidden="false" customHeight="true" outlineLevel="0" collapsed="false">
      <c r="A125" s="9" t="s">
        <v>305</v>
      </c>
      <c r="B125" s="73" t="n">
        <f aca="false">B17</f>
        <v>925933.818333333</v>
      </c>
      <c r="C125" s="68"/>
      <c r="D125" s="69" t="s">
        <v>306</v>
      </c>
    </row>
    <row r="126" customFormat="false" ht="16.5" hidden="false" customHeight="true" outlineLevel="0" collapsed="false">
      <c r="A126" s="6" t="s">
        <v>307</v>
      </c>
      <c r="B126" s="70" t="n">
        <f aca="false">B43</f>
        <v>327000</v>
      </c>
      <c r="C126" s="71"/>
      <c r="D126" s="72"/>
    </row>
    <row r="127" customFormat="false" ht="16.5" hidden="false" customHeight="true" outlineLevel="0" collapsed="false">
      <c r="A127" s="9" t="s">
        <v>308</v>
      </c>
      <c r="B127" s="73" t="n">
        <f aca="false">B45</f>
        <v>598933.818333333</v>
      </c>
      <c r="C127" s="68"/>
      <c r="D127" s="69"/>
    </row>
    <row r="128" customFormat="false" ht="16.5" hidden="false" customHeight="true" outlineLevel="0" collapsed="false">
      <c r="A128" s="6" t="s">
        <v>309</v>
      </c>
      <c r="B128" s="74" t="n">
        <f aca="false">B45/B17</f>
        <v>0.646843010239549</v>
      </c>
      <c r="C128" s="71"/>
      <c r="D128" s="72" t="s">
        <v>310</v>
      </c>
    </row>
    <row r="129" customFormat="false" ht="16.5" hidden="false" customHeight="true" outlineLevel="0" collapsed="false">
      <c r="A129" s="9" t="s">
        <v>311</v>
      </c>
      <c r="B129" s="73" t="n">
        <f aca="false">B93</f>
        <v>206433.818333333</v>
      </c>
      <c r="C129" s="68"/>
      <c r="D129" s="69"/>
    </row>
    <row r="130" customFormat="false" ht="16.5" hidden="false" customHeight="true" outlineLevel="0" collapsed="false">
      <c r="A130" s="6" t="s">
        <v>312</v>
      </c>
      <c r="B130" s="74" t="n">
        <f aca="false">B93/B17</f>
        <v>0.222946623447571</v>
      </c>
      <c r="C130" s="71"/>
      <c r="D130" s="72" t="s">
        <v>313</v>
      </c>
    </row>
    <row r="131" customFormat="false" ht="16.5" hidden="false" customHeight="true" outlineLevel="0" collapsed="false">
      <c r="A131" s="9" t="s">
        <v>314</v>
      </c>
      <c r="B131" s="75" t="n">
        <f aca="false">B93/B11</f>
        <v>0.161052394176174</v>
      </c>
      <c r="C131" s="68"/>
      <c r="D131" s="69" t="s">
        <v>315</v>
      </c>
    </row>
    <row r="132" customFormat="false" ht="16.5" hidden="false" customHeight="true" outlineLevel="0" collapsed="false">
      <c r="A132" s="6" t="s">
        <v>316</v>
      </c>
      <c r="B132" s="70" t="n">
        <f aca="false">B117</f>
        <v>133151.025566667</v>
      </c>
      <c r="C132" s="71"/>
      <c r="D132" s="72"/>
    </row>
    <row r="133" customFormat="false" ht="16.5" hidden="false" customHeight="true" outlineLevel="0" collapsed="false">
      <c r="A133" s="9" t="s">
        <v>317</v>
      </c>
      <c r="B133" s="75" t="n">
        <f aca="false">B117/B17</f>
        <v>0.143801881873519</v>
      </c>
      <c r="C133" s="68"/>
      <c r="D133" s="69" t="s">
        <v>318</v>
      </c>
    </row>
    <row r="134" customFormat="false" ht="16.5" hidden="false" customHeight="true" outlineLevel="0" collapsed="false">
      <c r="A134" s="6" t="s">
        <v>319</v>
      </c>
      <c r="B134" s="74" t="n">
        <f aca="false">B30/B17</f>
        <v>0.286197560509234</v>
      </c>
      <c r="C134" s="71"/>
      <c r="D134" s="72" t="s">
        <v>320</v>
      </c>
    </row>
    <row r="135" customFormat="false" ht="16.5" hidden="false" customHeight="true" outlineLevel="0" collapsed="false">
      <c r="A135" s="9" t="s">
        <v>321</v>
      </c>
      <c r="B135" s="75" t="n">
        <f aca="false">B54/B17</f>
        <v>0.251097859692064</v>
      </c>
      <c r="C135" s="68"/>
      <c r="D135" s="69" t="s">
        <v>322</v>
      </c>
    </row>
    <row r="136" customFormat="false" ht="16.5" hidden="false" customHeight="true" outlineLevel="0" collapsed="false">
      <c r="A136" s="6" t="s">
        <v>323</v>
      </c>
      <c r="B136" s="74" t="n">
        <f aca="false">(B14+B15)/B11*-1</f>
        <v>0.23</v>
      </c>
      <c r="C136" s="71"/>
      <c r="D136" s="72" t="s">
        <v>324</v>
      </c>
    </row>
    <row r="138" customFormat="false" ht="15" hidden="false" customHeight="false" outlineLevel="0" collapsed="false">
      <c r="A138" s="76" t="s">
        <v>325</v>
      </c>
      <c r="B138" s="76"/>
      <c r="C138" s="76"/>
      <c r="D138" s="76"/>
    </row>
  </sheetData>
  <mergeCells count="11">
    <mergeCell ref="A1:D1"/>
    <mergeCell ref="A2:D2"/>
    <mergeCell ref="A5:D5"/>
    <mergeCell ref="A13:D13"/>
    <mergeCell ref="A19:D19"/>
    <mergeCell ref="A47:D47"/>
    <mergeCell ref="A95:D95"/>
    <mergeCell ref="A104:D104"/>
    <mergeCell ref="A112:D112"/>
    <mergeCell ref="A120:D120"/>
    <mergeCell ref="A138:D1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2026-02-26T10:08:38Z</dcterms:created>
  <dc:creator>openpyxl</dc:creator>
  <dc:description/>
  <dc:language>en-US</dc:language>
  <cp:lastModifiedBy/>
  <dcterms:modified xsi:type="dcterms:W3CDTF">2026-02-26T10:08:38Z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